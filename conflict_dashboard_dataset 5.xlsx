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3ee4db3b42795edb/Desktop/"/>
    </mc:Choice>
  </mc:AlternateContent>
  <xr:revisionPtr revIDLastSave="73" documentId="8_{D3124CE6-7F1E-48EC-8A6C-12757350C8B7}" xr6:coauthVersionLast="47" xr6:coauthVersionMax="47" xr10:uidLastSave="{CBA39A7E-E53B-477E-9014-7E685D662C79}"/>
  <bookViews>
    <workbookView xWindow="-108" yWindow="-108" windowWidth="23256" windowHeight="12456" xr2:uid="{00000000-000D-0000-FFFF-FFFF00000000}"/>
  </bookViews>
  <sheets>
    <sheet name="Sheet2" sheetId="9" r:id="rId1"/>
    <sheet name="Sites_Targeted" sheetId="1" r:id="rId2"/>
    <sheet name="Sheet6" sheetId="14" r:id="rId3"/>
    <sheet name="Missiles_Launched" sheetId="2" r:id="rId4"/>
    <sheet name="Sheet7" sheetId="15" r:id="rId5"/>
    <sheet name="Airstrikes_Aircraft" sheetId="3" r:id="rId6"/>
    <sheet name="Sheet8" sheetId="16" r:id="rId7"/>
    <sheet name="Cities_Impact" sheetId="4" r:id="rId8"/>
    <sheet name="Timeline_Events" sheetId="5" r:id="rId9"/>
  </sheets>
  <definedNames>
    <definedName name="Slicer_attacker">#N/A</definedName>
    <definedName name="Slicer_country">#N/A</definedName>
    <definedName name="Slicer_country1">#N/A</definedName>
    <definedName name="Slicer_country2">#N/A</definedName>
  </definedNames>
  <calcPr calcId="0"/>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<sst xmlns="http://schemas.openxmlformats.org/spreadsheetml/2006/main" count="209" uniqueCount="116">
  <si>
    <t>date</t>
  </si>
  <si>
    <t>attacker</t>
  </si>
  <si>
    <t>target_country</t>
  </si>
  <si>
    <t>site_name</t>
  </si>
  <si>
    <t>site_type</t>
  </si>
  <si>
    <t>impact</t>
  </si>
  <si>
    <t>2026-02-28</t>
  </si>
  <si>
    <t>USA/Israel</t>
  </si>
  <si>
    <t>Iran</t>
  </si>
  <si>
    <t>Tehran Military HQ</t>
  </si>
  <si>
    <t>Military</t>
  </si>
  <si>
    <t>Destroyed</t>
  </si>
  <si>
    <t>Nuclear Facilities</t>
  </si>
  <si>
    <t>Nuclear</t>
  </si>
  <si>
    <t>Heavy damage</t>
  </si>
  <si>
    <t>2026-03-13</t>
  </si>
  <si>
    <t>USA</t>
  </si>
  <si>
    <t>Kharg Island</t>
  </si>
  <si>
    <t>Oil/Military</t>
  </si>
  <si>
    <t>90+ sites hit</t>
  </si>
  <si>
    <t>Israel</t>
  </si>
  <si>
    <t>Tel Aviv</t>
  </si>
  <si>
    <t>City</t>
  </si>
  <si>
    <t>Missile impact</t>
  </si>
  <si>
    <t>Northern Israel</t>
  </si>
  <si>
    <t>Missile strikes</t>
  </si>
  <si>
    <t>UAE</t>
  </si>
  <si>
    <t>Fujairah Oil Facility</t>
  </si>
  <si>
    <t>Energy</t>
  </si>
  <si>
    <t>Damaged</t>
  </si>
  <si>
    <t>Bahrain</t>
  </si>
  <si>
    <t>US Naval Base</t>
  </si>
  <si>
    <t>Targeted</t>
  </si>
  <si>
    <t>Kuwait</t>
  </si>
  <si>
    <t>US Military Base</t>
  </si>
  <si>
    <t>Struck</t>
  </si>
  <si>
    <t>Iraq</t>
  </si>
  <si>
    <t>US Consulate &amp; Airbase</t>
  </si>
  <si>
    <t>Military/Diplomatic</t>
  </si>
  <si>
    <t>Qatar</t>
  </si>
  <si>
    <t>Military Installations</t>
  </si>
  <si>
    <t>Intercepted</t>
  </si>
  <si>
    <t>country</t>
  </si>
  <si>
    <t>missile_count</t>
  </si>
  <si>
    <t>drone_count</t>
  </si>
  <si>
    <t>notes</t>
  </si>
  <si>
    <t>428</t>
  </si>
  <si>
    <t>345</t>
  </si>
  <si>
    <t>Day 1 peak</t>
  </si>
  <si>
    <t>2026-03-10</t>
  </si>
  <si>
    <t>24</t>
  </si>
  <si>
    <t>48</t>
  </si>
  <si>
    <t>Reduced capacity</t>
  </si>
  <si>
    <t>2026-03-16</t>
  </si>
  <si>
    <t>Cumulative</t>
  </si>
  <si>
    <t>9</t>
  </si>
  <si>
    <t>Recent daily low</t>
  </si>
  <si>
    <t>Airstrike wave</t>
  </si>
  <si>
    <t>7000+ targets hit</t>
  </si>
  <si>
    <t>aircraft_used</t>
  </si>
  <si>
    <t>airstrikes</t>
  </si>
  <si>
    <t>details</t>
  </si>
  <si>
    <t>B-2, B-1, B-52</t>
  </si>
  <si>
    <t>Strategic strikes</t>
  </si>
  <si>
    <t>Tomahawk Missiles</t>
  </si>
  <si>
    <t>Naval strikes</t>
  </si>
  <si>
    <t>Fighter Jets</t>
  </si>
  <si>
    <t>Decapitation strikes</t>
  </si>
  <si>
    <t>2026-03-02</t>
  </si>
  <si>
    <t>Hezbollah</t>
  </si>
  <si>
    <t>Drones &amp; Missiles</t>
  </si>
  <si>
    <t>Coordinated attack</t>
  </si>
  <si>
    <t>UAVs</t>
  </si>
  <si>
    <t>Multi-country strikes</t>
  </si>
  <si>
    <t>MQ-9 Reaper</t>
  </si>
  <si>
    <t>Some destroyed</t>
  </si>
  <si>
    <t>city</t>
  </si>
  <si>
    <t>deaths</t>
  </si>
  <si>
    <t>injured</t>
  </si>
  <si>
    <t>economic_impact</t>
  </si>
  <si>
    <t>Tehran</t>
  </si>
  <si>
    <t>Infrastructure damage</t>
  </si>
  <si>
    <t>Residential damage</t>
  </si>
  <si>
    <t>Dubai/Abu Dhabi</t>
  </si>
  <si>
    <t>Property damage</t>
  </si>
  <si>
    <t>Lebanon</t>
  </si>
  <si>
    <t>Beirut</t>
  </si>
  <si>
    <t>Mass displacement</t>
  </si>
  <si>
    <t>Doha</t>
  </si>
  <si>
    <t>Airspace shutdown</t>
  </si>
  <si>
    <t>Kuwait City</t>
  </si>
  <si>
    <t>Military base damage</t>
  </si>
  <si>
    <t>Erbil</t>
  </si>
  <si>
    <t>Interceptions</t>
  </si>
  <si>
    <t>2025-06-13</t>
  </si>
  <si>
    <t>Israel strikes Iranian nuclear sites</t>
  </si>
  <si>
    <t>USA &amp; Israel launch airstrikes</t>
  </si>
  <si>
    <t>Iran retaliates with missiles</t>
  </si>
  <si>
    <t>Hezbollah joins conflict</t>
  </si>
  <si>
    <t>Missile launches drop</t>
  </si>
  <si>
    <t>US bombs Kharg Island</t>
  </si>
  <si>
    <t>War expands across Gulf</t>
  </si>
  <si>
    <t>Sum of deaths</t>
  </si>
  <si>
    <t>Sum of injured</t>
  </si>
  <si>
    <t>Sum of missile_count</t>
  </si>
  <si>
    <t>Sum of airstrikes</t>
  </si>
  <si>
    <t>Row Labels</t>
  </si>
  <si>
    <t>Grand Total</t>
  </si>
  <si>
    <t>Count of target_country</t>
  </si>
  <si>
    <t>Count of site_type</t>
  </si>
  <si>
    <t>Count of impact</t>
  </si>
  <si>
    <t>Sum of drone_count</t>
  </si>
  <si>
    <t xml:space="preserve">MISSILE COUNT </t>
  </si>
  <si>
    <t xml:space="preserve">DRONES COUNT </t>
  </si>
  <si>
    <t>EVENT</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</si>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</sst>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64" fontId="3" fillId="2" borderId="0" xfId="0" applyNumberFormat="1" applyFont="1" applyFill="1" applyAlignment="1">
      <alignment horizontal="center" vertical="center"/>
    </xf>
    <xf numFmtId="0" fontId="1" fillId="2" borderId="0" xfId="0" applyFont="1" applyFill="1"/>
    <xf numFmtId="164" fontId="4" fillId="2" borderId="0" xfId="0" applyNumberFormat="1" applyFont="1" applyFill="1" applyAlignment="1">
      <alignment horizontal="center" vertical="center"/>
    </xf>
    <xf numFmtId="0" fontId="0" fillId="3" borderId="0" xfId="0" applyFill="1"/>
    <xf numFmtId="0" fontId="0" fillId="0" borderId="0" xfId="0" applyNumberFormat="1"/>
  </cellXfs>
  <cellStyles count="1">
    <cellStyle name="Normal" xfId="0" builtinId="0"/>
  </cellStyles>
  <dxfs count="4">
    <dxf>
      <font>
        <b/>
        <strike val="0"/>
        <outline val="0"/>
        <shadow val="0"/>
        <u val="none"/>
        <vertAlign val="baseline"/>
        <sz val="11"/>
        <color theme="0"/>
        <name val="Calibri"/>
        <family val="2"/>
        <scheme val="minor"/>
      </font>
      <numFmt numFmtId="164" formatCode="[$-F800]dddd\,\ mmmm\ dd\,\ yyyy"/>
      <fill>
        <patternFill patternType="solid">
          <fgColor indexed="64"/>
          <bgColor theme="7" tint="0.59999389629810485"/>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164" formatCode="[$-F800]dddd\,\ mmmm\ dd\,\ yyyy"/>
      <fill>
        <patternFill patternType="solid">
          <fgColor indexed="64"/>
          <bgColor theme="7" tint="0.59999389629810485"/>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164" formatCode="[$-F800]dddd\,\ mmmm\ dd\,\ yyyy"/>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164" formatCode="[$-F800]dddd\,\ mmmm\ dd\,\ yyyy"/>
      <fill>
        <patternFill patternType="solid">
          <fgColor indexed="64"/>
          <bgColor theme="7" tint="0.59999389629810485"/>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5.xlsx]Sheet2!PivotTable1</c:name>
    <c:fmtId val="2"/>
  </c:pivotSource>
  <c:chart>
    <c:title>
      <c:tx>
        <c:rich>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r>
              <a:rPr lang="en-US" sz="2400">
                <a:solidFill>
                  <a:schemeClr val="tx1"/>
                </a:solidFill>
              </a:rPr>
              <a:t>Attacks</a:t>
            </a:r>
            <a:r>
              <a:rPr lang="en-US" sz="2400" baseline="0">
                <a:solidFill>
                  <a:schemeClr val="tx1"/>
                </a:solidFill>
              </a:rPr>
              <a:t> by Target Country</a:t>
            </a:r>
            <a:endParaRPr lang="en-US" sz="2400">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31091503875537E-2"/>
          <c:y val="0.13157721354767182"/>
          <c:w val="0.94067215013980476"/>
          <c:h val="0.75384420959219323"/>
        </c:manualLayout>
      </c:layout>
      <c:barChart>
        <c:barDir val="col"/>
        <c:grouping val="stacked"/>
        <c:varyColors val="0"/>
        <c:ser>
          <c:idx val="0"/>
          <c:order val="0"/>
          <c:tx>
            <c:strRef>
              <c:f>Sheet2!$CA$52</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Sheet2!$BZ$53:$BZ$59</c:f>
              <c:strCache>
                <c:ptCount val="6"/>
                <c:pt idx="0">
                  <c:v>Bahrain</c:v>
                </c:pt>
                <c:pt idx="1">
                  <c:v>Iraq</c:v>
                </c:pt>
                <c:pt idx="2">
                  <c:v>Israel</c:v>
                </c:pt>
                <c:pt idx="3">
                  <c:v>Kuwait</c:v>
                </c:pt>
                <c:pt idx="4">
                  <c:v>Qatar</c:v>
                </c:pt>
                <c:pt idx="5">
                  <c:v>UAE</c:v>
                </c:pt>
              </c:strCache>
            </c:strRef>
          </c:cat>
          <c:val>
            <c:numRef>
              <c:f>Sheet2!$CA$53:$CA$59</c:f>
              <c:numCache>
                <c:formatCode>General</c:formatCode>
                <c:ptCount val="6"/>
                <c:pt idx="0">
                  <c:v>1</c:v>
                </c:pt>
                <c:pt idx="1">
                  <c:v>1</c:v>
                </c:pt>
                <c:pt idx="2">
                  <c:v>2</c:v>
                </c:pt>
                <c:pt idx="3">
                  <c:v>1</c:v>
                </c:pt>
                <c:pt idx="4">
                  <c:v>1</c:v>
                </c:pt>
                <c:pt idx="5">
                  <c:v>1</c:v>
                </c:pt>
              </c:numCache>
            </c:numRef>
          </c:val>
          <c:extLst>
            <c:ext xmlns:c16="http://schemas.microsoft.com/office/drawing/2014/chart" uri="{C3380CC4-5D6E-409C-BE32-E72D297353CC}">
              <c16:uniqueId val="{00000000-8A09-47C2-ADB8-9ABD5B6C98D9}"/>
            </c:ext>
          </c:extLst>
        </c:ser>
        <c:dLbls>
          <c:dLblPos val="ctr"/>
          <c:showLegendKey val="0"/>
          <c:showVal val="1"/>
          <c:showCatName val="0"/>
          <c:showSerName val="0"/>
          <c:showPercent val="0"/>
          <c:showBubbleSize val="0"/>
        </c:dLbls>
        <c:gapWidth val="150"/>
        <c:overlap val="100"/>
        <c:axId val="171507599"/>
        <c:axId val="171509519"/>
      </c:barChart>
      <c:catAx>
        <c:axId val="1715075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71509519"/>
        <c:crosses val="autoZero"/>
        <c:auto val="1"/>
        <c:lblAlgn val="ctr"/>
        <c:lblOffset val="100"/>
        <c:noMultiLvlLbl val="0"/>
      </c:catAx>
      <c:valAx>
        <c:axId val="171509519"/>
        <c:scaling>
          <c:orientation val="minMax"/>
        </c:scaling>
        <c:delete val="1"/>
        <c:axPos val="l"/>
        <c:numFmt formatCode="General" sourceLinked="1"/>
        <c:majorTickMark val="out"/>
        <c:minorTickMark val="none"/>
        <c:tickLblPos val="nextTo"/>
        <c:crossAx val="171507599"/>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[conflict_dashboard_dataset 5.xlsx]Sheet2!PivotTable2</c:name>
    <c:fmtId val="3"/>
  </c:pivotSource>
  <c:chart>
    <c:title>
      <c:tx>
        <c:rich>
          <a:bodyPr rot="0" spcFirstLastPara="1" vertOverflow="ellipsis" vert="horz" wrap="square" anchor="ctr" anchorCtr="1"/>
          <a:lstStyle/>
          <a:p>
            <a:pPr algn="ctr">
              <a:defRPr sz="3600" b="1" i="0" u="none" strike="noStrike" kern="1200" spc="0" baseline="0">
                <a:solidFill>
                  <a:schemeClr val="tx1"/>
                </a:solidFill>
                <a:latin typeface="+mn-lt"/>
                <a:ea typeface="+mn-ea"/>
                <a:cs typeface="+mn-cs"/>
              </a:defRPr>
            </a:pPr>
            <a:r>
              <a:rPr lang="en-US" sz="3600" b="1">
                <a:solidFill>
                  <a:schemeClr val="tx1"/>
                </a:solidFill>
              </a:rPr>
              <a:t>Attacks on Sites</a:t>
            </a:r>
          </a:p>
        </c:rich>
      </c:tx>
      <c:layout>
        <c:manualLayout>
          <c:xMode val="edge"/>
          <c:yMode val="edge"/>
          <c:x val="0.16701448749357287"/>
          <c:y val="4.0855363308028277E-3"/>
        </c:manualLayout>
      </c:layout>
      <c:overlay val="0"/>
      <c:spPr>
        <a:noFill/>
        <a:ln>
          <a:noFill/>
        </a:ln>
        <a:effectLst/>
      </c:spPr>
      <c:txPr>
        <a:bodyPr rot="0" spcFirstLastPara="1" vertOverflow="ellipsis" vert="horz" wrap="square" anchor="ctr" anchorCtr="1"/>
        <a:lstStyle/>
        <a:p>
          <a:pPr algn="ctr">
            <a:defRPr sz="3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86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58000"/>
            </a:schemeClr>
          </a:solidFill>
          <a:ln w="19050">
            <a:solidFill>
              <a:schemeClr val="lt1"/>
            </a:solidFill>
          </a:ln>
          <a:effectLst/>
        </c:spPr>
      </c:pivotFmt>
      <c:pivotFmt>
        <c:idx val="4"/>
        <c:spPr>
          <a:solidFill>
            <a:schemeClr val="accent6">
              <a:shade val="86000"/>
            </a:schemeClr>
          </a:solidFill>
          <a:ln w="19050">
            <a:solidFill>
              <a:schemeClr val="lt1"/>
            </a:solidFill>
          </a:ln>
          <a:effectLst/>
        </c:spPr>
      </c:pivotFmt>
      <c:pivotFmt>
        <c:idx val="5"/>
        <c:spPr>
          <a:solidFill>
            <a:schemeClr val="accent6">
              <a:tint val="58000"/>
            </a:schemeClr>
          </a:solidFill>
          <a:ln w="19050">
            <a:solidFill>
              <a:schemeClr val="lt1"/>
            </a:solidFill>
          </a:ln>
          <a:effectLst/>
        </c:spPr>
      </c:pivotFmt>
    </c:pivotFmts>
    <c:plotArea>
      <c:layout>
        <c:manualLayout>
          <c:layoutTarget val="inner"/>
          <c:xMode val="edge"/>
          <c:yMode val="edge"/>
          <c:x val="0.31434715531168583"/>
          <c:y val="0.26569991251093611"/>
          <c:w val="0.39492480772752242"/>
          <c:h val="0.75474518810148727"/>
        </c:manualLayout>
      </c:layout>
      <c:pieChart>
        <c:varyColors val="1"/>
        <c:ser>
          <c:idx val="0"/>
          <c:order val="0"/>
          <c:tx>
            <c:strRef>
              <c:f>Sheet2!$BZ$33</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2-8DED-4E69-9B06-1A6A8DCC6240}"/>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2BB0-431C-A3E6-14C86A635072}"/>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E35F-45A7-8AA6-B7046BA0374E}"/>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E35F-45A7-8AA6-B7046BA0374E}"/>
              </c:ext>
            </c:extLst>
          </c:dPt>
          <c:dLbls>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Sheet2!$BY$34:$BY$38</c:f>
              <c:strCache>
                <c:ptCount val="4"/>
                <c:pt idx="0">
                  <c:v>City</c:v>
                </c:pt>
                <c:pt idx="1">
                  <c:v>Energy</c:v>
                </c:pt>
                <c:pt idx="2">
                  <c:v>Military</c:v>
                </c:pt>
                <c:pt idx="3">
                  <c:v>Military/Diplomatic</c:v>
                </c:pt>
              </c:strCache>
            </c:strRef>
          </c:cat>
          <c:val>
            <c:numRef>
              <c:f>Sheet2!$BZ$34:$BZ$38</c:f>
              <c:numCache>
                <c:formatCode>General</c:formatCode>
                <c:ptCount val="4"/>
                <c:pt idx="0">
                  <c:v>2</c:v>
                </c:pt>
                <c:pt idx="1">
                  <c:v>1</c:v>
                </c:pt>
                <c:pt idx="2">
                  <c:v>3</c:v>
                </c:pt>
                <c:pt idx="3">
                  <c:v>1</c:v>
                </c:pt>
              </c:numCache>
            </c:numRef>
          </c:val>
          <c:extLst>
            <c:ext xmlns:c16="http://schemas.microsoft.com/office/drawing/2014/chart" uri="{C3380CC4-5D6E-409C-BE32-E72D297353CC}">
              <c16:uniqueId val="{00000000-8DED-4E69-9B06-1A6A8DCC62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3"/>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Entry>
      <c:layout>
        <c:manualLayout>
          <c:xMode val="edge"/>
          <c:yMode val="edge"/>
          <c:x val="0.15149258426125708"/>
          <c:y val="0.17509218218682035"/>
          <c:w val="0.77643206086400074"/>
          <c:h val="0.1912830076512083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5.xlsx]Sheet2!PivotTable3</c:name>
    <c:fmtId val="5"/>
  </c:pivotSource>
  <c:chart>
    <c:title>
      <c:tx>
        <c:rich>
          <a:bodyPr rot="0" spcFirstLastPara="1" vertOverflow="ellipsis" vert="horz" wrap="square" anchor="ctr" anchorCtr="1"/>
          <a:lstStyle/>
          <a:p>
            <a:pPr>
              <a:defRPr sz="4000" b="1" i="0" u="none" strike="noStrike" kern="1200" cap="none" spc="20" baseline="0">
                <a:solidFill>
                  <a:schemeClr val="tx1"/>
                </a:solidFill>
                <a:latin typeface="+mn-lt"/>
                <a:ea typeface="+mn-ea"/>
                <a:cs typeface="+mn-cs"/>
              </a:defRPr>
            </a:pPr>
            <a:r>
              <a:rPr lang="en-US" sz="4000" b="1">
                <a:solidFill>
                  <a:schemeClr val="tx1"/>
                </a:solidFill>
              </a:rPr>
              <a:t>Impact by Attacks</a:t>
            </a:r>
          </a:p>
        </c:rich>
      </c:tx>
      <c:overlay val="0"/>
      <c:spPr>
        <a:noFill/>
        <a:ln>
          <a:noFill/>
        </a:ln>
        <a:effectLst/>
      </c:spPr>
      <c:txPr>
        <a:bodyPr rot="0" spcFirstLastPara="1" vertOverflow="ellipsis" vert="horz" wrap="square" anchor="ctr" anchorCtr="1"/>
        <a:lstStyle/>
        <a:p>
          <a:pPr>
            <a:defRPr sz="40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319297133137507E-2"/>
          <c:y val="0.19432888597258677"/>
          <c:w val="0.96568070286686247"/>
          <c:h val="0.69827172645086033"/>
        </c:manualLayout>
      </c:layout>
      <c:bar3DChart>
        <c:barDir val="col"/>
        <c:grouping val="clustered"/>
        <c:varyColors val="0"/>
        <c:ser>
          <c:idx val="0"/>
          <c:order val="0"/>
          <c:tx>
            <c:strRef>
              <c:f>Sheet2!$BZ$42</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Sheet2!$BY$43:$BY$45</c:f>
              <c:strCache>
                <c:ptCount val="2"/>
                <c:pt idx="0">
                  <c:v>Damaged</c:v>
                </c:pt>
                <c:pt idx="1">
                  <c:v>Missile strikes</c:v>
                </c:pt>
              </c:strCache>
            </c:strRef>
          </c:cat>
          <c:val>
            <c:numRef>
              <c:f>Sheet2!$BZ$43:$BZ$45</c:f>
              <c:numCache>
                <c:formatCode>General</c:formatCode>
                <c:ptCount val="2"/>
                <c:pt idx="0">
                  <c:v>1</c:v>
                </c:pt>
                <c:pt idx="1">
                  <c:v>1</c:v>
                </c:pt>
              </c:numCache>
            </c:numRef>
          </c:val>
          <c:extLst>
            <c:ext xmlns:c16="http://schemas.microsoft.com/office/drawing/2014/chart" uri="{C3380CC4-5D6E-409C-BE32-E72D297353CC}">
              <c16:uniqueId val="{00000000-4204-4831-A0E2-6AC4A2901BD0}"/>
            </c:ext>
          </c:extLst>
        </c:ser>
        <c:dLbls>
          <c:showLegendKey val="0"/>
          <c:showVal val="1"/>
          <c:showCatName val="0"/>
          <c:showSerName val="0"/>
          <c:showPercent val="0"/>
          <c:showBubbleSize val="0"/>
        </c:dLbls>
        <c:gapWidth val="150"/>
        <c:shape val="box"/>
        <c:axId val="208291807"/>
        <c:axId val="208288447"/>
        <c:axId val="0"/>
      </c:bar3DChart>
      <c:catAx>
        <c:axId val="208291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208288447"/>
        <c:crosses val="autoZero"/>
        <c:auto val="1"/>
        <c:lblAlgn val="ctr"/>
        <c:lblOffset val="100"/>
        <c:noMultiLvlLbl val="0"/>
      </c:catAx>
      <c:valAx>
        <c:axId val="208288447"/>
        <c:scaling>
          <c:orientation val="minMax"/>
        </c:scaling>
        <c:delete val="1"/>
        <c:axPos val="l"/>
        <c:numFmt formatCode="General" sourceLinked="1"/>
        <c:majorTickMark val="none"/>
        <c:minorTickMark val="none"/>
        <c:tickLblPos val="nextTo"/>
        <c:crossAx val="20829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[conflict_dashboard_dataset 5.xlsx]Sheet7!PivotTable17</c:name>
    <c:fmtId val="5"/>
  </c:pivotSource>
  <c:chart>
    <c:title>
      <c:tx>
        <c:rich>
          <a:bodyPr rot="0" spcFirstLastPara="1" vertOverflow="ellipsis" vert="horz" wrap="square" anchor="ctr" anchorCtr="1"/>
          <a:lstStyle/>
          <a:p>
            <a:pPr>
              <a:defRPr sz="4000" b="1" i="0" u="none" strike="noStrike" kern="1200" spc="0" baseline="0">
                <a:solidFill>
                  <a:schemeClr val="bg1"/>
                </a:solidFill>
                <a:latin typeface="+mn-lt"/>
                <a:ea typeface="+mn-ea"/>
                <a:cs typeface="+mn-cs"/>
              </a:defRPr>
            </a:pPr>
            <a:r>
              <a:rPr lang="en-US" sz="4000" b="1">
                <a:solidFill>
                  <a:schemeClr val="bg1"/>
                </a:solidFill>
              </a:rPr>
              <a:t>Total</a:t>
            </a:r>
            <a:r>
              <a:rPr lang="en-US" sz="4000" b="1" baseline="0">
                <a:solidFill>
                  <a:schemeClr val="bg1"/>
                </a:solidFill>
              </a:rPr>
              <a:t> Airstrikes used</a:t>
            </a:r>
            <a:endParaRPr lang="en-US" sz="4000" b="1">
              <a:solidFill>
                <a:schemeClr val="bg1"/>
              </a:solidFill>
            </a:endParaRPr>
          </a:p>
        </c:rich>
      </c:tx>
      <c:overlay val="0"/>
      <c:spPr>
        <a:noFill/>
        <a:ln>
          <a:noFill/>
        </a:ln>
        <a:effectLst/>
      </c:spPr>
      <c:txPr>
        <a:bodyPr rot="0" spcFirstLastPara="1" vertOverflow="ellipsis" vert="horz" wrap="square" anchor="ctr" anchorCtr="1"/>
        <a:lstStyle/>
        <a:p>
          <a:pPr>
            <a:defRPr sz="4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61756581554458E-2"/>
          <c:y val="0.13378315594664023"/>
          <c:w val="0.91353828279867377"/>
          <c:h val="0.80698091654061377"/>
        </c:manualLayout>
      </c:layout>
      <c:barChart>
        <c:barDir val="bar"/>
        <c:grouping val="clustered"/>
        <c:varyColors val="0"/>
        <c:ser>
          <c:idx val="0"/>
          <c:order val="0"/>
          <c:tx>
            <c:strRef>
              <c:f>Sheet7!$B$10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Sheet7!$A$11:$A$14</c:f>
              <c:strCache>
                <c:ptCount val="3"/>
                <c:pt idx="0">
                  <c:v>B-2, B-1, B-52</c:v>
                </c:pt>
                <c:pt idx="1">
                  <c:v>MQ-9 Reaper</c:v>
                </c:pt>
                <c:pt idx="2">
                  <c:v>Tomahawk Missiles</c:v>
                </c:pt>
              </c:strCache>
            </c:strRef>
          </c:cat>
          <c:val>
            <c:numRef>
              <c:f>Sheet7!$B$11:$B$14</c:f>
              <c:numCache>
                <c:formatCode>General</c:formatCode>
                <c:ptCount val="3"/>
                <c:pt idx="0">
                  <c:v>1000</c:v>
                </c:pt>
                <c:pt idx="1">
                  <c:v>0</c:v>
                </c:pt>
                <c:pt idx="2">
                  <c:v>300</c:v>
                </c:pt>
              </c:numCache>
            </c:numRef>
          </c:val>
          <c:extLst>
            <c:ext xmlns:c16="http://schemas.microsoft.com/office/drawing/2014/chart" uri="{C3380CC4-5D6E-409C-BE32-E72D297353CC}">
              <c16:uniqueId val="{00000000-5366-4DEF-9D76-32D0E1B533A2}"/>
            </c:ext>
          </c:extLst>
        </c:ser>
        <c:dLbls>
          <c:showLegendKey val="0"/>
          <c:showVal val="1"/>
          <c:showCatName val="0"/>
          <c:showSerName val="0"/>
          <c:showPercent val="0"/>
          <c:showBubbleSize val="0"/>
        </c:dLbls>
        <c:gapWidth val="219"/>
        <c:axId val="731763791"/>
        <c:axId val="731764751"/>
      </c:barChart>
      <c:catAx>
        <c:axId val="73176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731764751"/>
        <c:crosses val="autoZero"/>
        <c:auto val="1"/>
        <c:lblAlgn val="ctr"/>
        <c:lblOffset val="100"/>
        <c:noMultiLvlLbl val="0"/>
      </c:catAx>
      <c:valAx>
        <c:axId val="731764751"/>
        <c:scaling>
          <c:orientation val="minMax"/>
        </c:scaling>
        <c:delete val="1"/>
        <c:axPos val="b"/>
        <c:numFmt formatCode="General" sourceLinked="1"/>
        <c:majorTickMark val="none"/>
        <c:minorTickMark val="none"/>
        <c:tickLblPos val="nextTo"/>
        <c:crossAx val="73176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[conflict_dashboard_dataset 5.xlsx]Sheet6!PivotTable13</c:name>
    <c:fmtId val="4"/>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a:solidFill>
                  <a:schemeClr val="tx1"/>
                </a:solidFill>
              </a:rPr>
              <a:t>COUNT</a:t>
            </a:r>
            <a:r>
              <a:rPr lang="en-IN" sz="2000" b="1" baseline="0">
                <a:solidFill>
                  <a:schemeClr val="tx1"/>
                </a:solidFill>
              </a:rPr>
              <a:t> OF MISSILES &amp; DRONES BY COUNTRY </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90339215130066E-2"/>
          <c:y val="0.13762123342752189"/>
          <c:w val="0.74372869111569861"/>
          <c:h val="0.67768391806034078"/>
        </c:manualLayout>
      </c:layout>
      <c:barChart>
        <c:barDir val="col"/>
        <c:grouping val="clustered"/>
        <c:varyColors val="0"/>
        <c:ser>
          <c:idx val="0"/>
          <c:order val="0"/>
          <c:tx>
            <c:strRef>
              <c:f>Sheet6!$I$7</c:f>
              <c:strCache>
                <c:ptCount val="1"/>
                <c:pt idx="0">
                  <c:v>MISSILE COUNT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Sheet6!$H$8:$H$11</c:f>
              <c:strCache>
                <c:ptCount val="3"/>
                <c:pt idx="0">
                  <c:v>2026-02-28</c:v>
                </c:pt>
                <c:pt idx="1">
                  <c:v>2026-03-10</c:v>
                </c:pt>
                <c:pt idx="2">
                  <c:v>2026-03-16</c:v>
                </c:pt>
              </c:strCache>
            </c:strRef>
          </c:cat>
          <c:val>
            <c:numRef>
              <c:f>Sheet6!$I$8:$I$11</c:f>
              <c:numCache>
                <c:formatCode>General</c:formatCode>
                <c:ptCount val="3"/>
                <c:pt idx="0">
                  <c:v>0</c:v>
                </c:pt>
                <c:pt idx="1">
                  <c:v>0</c:v>
                </c:pt>
                <c:pt idx="2">
                  <c:v>1000</c:v>
                </c:pt>
              </c:numCache>
            </c:numRef>
          </c:val>
          <c:extLst>
            <c:ext xmlns:c16="http://schemas.microsoft.com/office/drawing/2014/chart" uri="{C3380CC4-5D6E-409C-BE32-E72D297353CC}">
              <c16:uniqueId val="{00000000-B5A1-4082-8647-E0DAB415B13F}"/>
            </c:ext>
          </c:extLst>
        </c:ser>
        <c:ser>
          <c:idx val="1"/>
          <c:order val="1"/>
          <c:tx>
            <c:strRef>
              <c:f>Sheet6!$J$7</c:f>
              <c:strCache>
                <c:ptCount val="1"/>
                <c:pt idx="0">
                  <c:v>DRONES COUNT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Sheet6!$H$8:$H$11</c:f>
              <c:strCache>
                <c:ptCount val="3"/>
                <c:pt idx="0">
                  <c:v>2026-02-28</c:v>
                </c:pt>
                <c:pt idx="1">
                  <c:v>2026-03-10</c:v>
                </c:pt>
                <c:pt idx="2">
                  <c:v>2026-03-16</c:v>
                </c:pt>
              </c:strCache>
            </c:strRef>
          </c:cat>
          <c:val>
            <c:numRef>
              <c:f>Sheet6!$J$8:$J$11</c:f>
              <c:numCache>
                <c:formatCode>General</c:formatCode>
                <c:ptCount val="3"/>
                <c:pt idx="0">
                  <c:v>0</c:v>
                </c:pt>
                <c:pt idx="1">
                  <c:v>0</c:v>
                </c:pt>
                <c:pt idx="2">
                  <c:v>2200</c:v>
                </c:pt>
              </c:numCache>
            </c:numRef>
          </c:val>
          <c:extLst>
            <c:ext xmlns:c16="http://schemas.microsoft.com/office/drawing/2014/chart" uri="{C3380CC4-5D6E-409C-BE32-E72D297353CC}">
              <c16:uniqueId val="{00000001-B5A1-4082-8647-E0DAB415B13F}"/>
            </c:ext>
          </c:extLst>
        </c:ser>
        <c:dLbls>
          <c:dLblPos val="outEnd"/>
          <c:showLegendKey val="0"/>
          <c:showVal val="1"/>
          <c:showCatName val="0"/>
          <c:showSerName val="0"/>
          <c:showPercent val="0"/>
          <c:showBubbleSize val="0"/>
        </c:dLbls>
        <c:gapWidth val="219"/>
        <c:overlap val="-27"/>
        <c:axId val="711676735"/>
        <c:axId val="711693535"/>
      </c:barChart>
      <c:catAx>
        <c:axId val="7116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711693535"/>
        <c:crosses val="autoZero"/>
        <c:auto val="1"/>
        <c:lblAlgn val="ctr"/>
        <c:lblOffset val="100"/>
        <c:noMultiLvlLbl val="0"/>
      </c:catAx>
      <c:valAx>
        <c:axId val="711693535"/>
        <c:scaling>
          <c:orientation val="minMax"/>
        </c:scaling>
        <c:delete val="1"/>
        <c:axPos val="l"/>
        <c:numFmt formatCode="General" sourceLinked="1"/>
        <c:majorTickMark val="out"/>
        <c:minorTickMark val="none"/>
        <c:tickLblPos val="nextTo"/>
        <c:crossAx val="71167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[conflict_dashboard_dataset 5.xlsx]Sheet8!PivotTable18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Sum of deaths</c:v>
                </c:pt>
              </c:strCache>
            </c:strRef>
          </c:tx>
          <c:spPr>
            <a:solidFill>
              <a:schemeClr val="accent1"/>
            </a:solidFill>
            <a:ln>
              <a:noFill/>
            </a:ln>
            <a:effectLst/>
          </c:spPr>
          <c:invertIfNegative val="0"/>
          <c:cat>
            <c:strRef>
              <c:f>Sheet8!$A$4:$A$5</c:f>
              <c:strCache>
                <c:ptCount val="1"/>
                <c:pt idx="0">
                  <c:v>Tehran</c:v>
                </c:pt>
              </c:strCache>
            </c:strRef>
          </c:cat>
          <c:val>
            <c:numRef>
              <c:f>Sheet8!$B$4:$B$5</c:f>
              <c:numCache>
                <c:formatCode>General</c:formatCode>
                <c:ptCount val="1"/>
                <c:pt idx="0">
                  <c:v>1000</c:v>
                </c:pt>
              </c:numCache>
            </c:numRef>
          </c:val>
          <c:extLst>
            <c:ext xmlns:c16="http://schemas.microsoft.com/office/drawing/2014/chart" uri="{C3380CC4-5D6E-409C-BE32-E72D297353CC}">
              <c16:uniqueId val="{00000000-2D9B-4542-B3BA-A20DD4E93E3D}"/>
            </c:ext>
          </c:extLst>
        </c:ser>
        <c:ser>
          <c:idx val="1"/>
          <c:order val="1"/>
          <c:tx>
            <c:strRef>
              <c:f>Sheet8!$C$3</c:f>
              <c:strCache>
                <c:ptCount val="1"/>
                <c:pt idx="0">
                  <c:v>Sum of injured</c:v>
                </c:pt>
              </c:strCache>
            </c:strRef>
          </c:tx>
          <c:spPr>
            <a:solidFill>
              <a:schemeClr val="accent2"/>
            </a:solidFill>
            <a:ln>
              <a:noFill/>
            </a:ln>
            <a:effectLst/>
          </c:spPr>
          <c:invertIfNegative val="0"/>
          <c:cat>
            <c:strRef>
              <c:f>Sheet8!$A$4:$A$5</c:f>
              <c:strCache>
                <c:ptCount val="1"/>
                <c:pt idx="0">
                  <c:v>Tehran</c:v>
                </c:pt>
              </c:strCache>
            </c:strRef>
          </c:cat>
          <c:val>
            <c:numRef>
              <c:f>Sheet8!$C$4:$C$5</c:f>
              <c:numCache>
                <c:formatCode>General</c:formatCode>
                <c:ptCount val="1"/>
                <c:pt idx="0">
                  <c:v>4000</c:v>
                </c:pt>
              </c:numCache>
            </c:numRef>
          </c:val>
          <c:extLst>
            <c:ext xmlns:c16="http://schemas.microsoft.com/office/drawing/2014/chart" uri="{C3380CC4-5D6E-409C-BE32-E72D297353CC}">
              <c16:uniqueId val="{00000001-2D9B-4542-B3BA-A20DD4E93E3D}"/>
            </c:ext>
          </c:extLst>
        </c:ser>
        <c:dLbls>
          <c:showLegendKey val="0"/>
          <c:showVal val="0"/>
          <c:showCatName val="0"/>
          <c:showSerName val="0"/>
          <c:showPercent val="0"/>
          <c:showBubbleSize val="0"/>
        </c:dLbls>
        <c:gapWidth val="219"/>
        <c:overlap val="-27"/>
        <c:axId val="460497055"/>
        <c:axId val="460514335"/>
      </c:barChart>
      <c:catAx>
        <c:axId val="4604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14335"/>
        <c:crosses val="autoZero"/>
        <c:auto val="1"/>
        <c:lblAlgn val="ctr"/>
        <c:lblOffset val="100"/>
        <c:noMultiLvlLbl val="0"/>
      </c:catAx>
      <c:valAx>
        <c:axId val="46051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18</xdr:col>
      <xdr:colOff>603250</xdr:colOff>
      <xdr:row>10</xdr:row>
      <xdr:rowOff>127000</xdr:rowOff>
    </xdr:from>
    <xdr:to>
      <xdr:col>34</xdr:col>
      <xdr:colOff>1206500</xdr:colOff>
      <xdr:row>79</xdr:row>
      <xdr:rowOff>158750</xdr:rowOff>
    </xdr:to>
    <xdr:sp macro="" textlink="">
      <xdr:nvSpPr>
        <xdr:cNvPr id="12" name="Rectangle 11">
          <a:extLst>
            <a:ext uri="{FF2B5EF4-FFF2-40B4-BE49-F238E27FC236}">
              <a16:creationId xmlns:a16="http://schemas.microsoft.com/office/drawing/2014/main" id="{F42D88A7-048E-98AA-ACD8-0BBA91BC6565}"/>
            </a:ext>
          </a:extLst>
        </xdr:cNvPr>
        <xdr:cNvSpPr/>
      </xdr:nvSpPr>
      <xdr:spPr>
        <a:xfrm>
          <a:off x="18097500" y="2032000"/>
          <a:ext cx="17081500" cy="1323975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18</xdr:col>
      <xdr:colOff>977660</xdr:colOff>
      <xdr:row>23</xdr:row>
      <xdr:rowOff>97646</xdr:rowOff>
    </xdr:from>
    <xdr:to>
      <xdr:col>20</xdr:col>
      <xdr:colOff>230415</xdr:colOff>
      <xdr:row>32</xdr:row>
      <xdr:rowOff>73205</xdr:rowOff>
    </xdr:to>
    <mc:AlternateContent xmlns:mc="http://schemas.openxmlformats.org/markup-compatibility/2006">
      <mc:Choice xmlns:a14="http://schemas.microsoft.com/office/drawing/2010/main" Requires="a14">
        <xdr:graphicFrame macro="">
          <xdr:nvGraphicFramePr>
            <xdr:cNvPr id="2" name="attacker">
              <a:extLst>
                <a:ext uri="{FF2B5EF4-FFF2-40B4-BE49-F238E27FC236}">
                  <a16:creationId xmlns:a16="http://schemas.microsoft.com/office/drawing/2014/main" id="{2C29E15B-43B4-8AFF-8A7E-5EDA9EF31D88}"/>
                </a:ext>
              </a:extLst>
            </xdr:cNvPr>
            <xdr:cNvGraphicFramePr/>
          </xdr:nvGraphicFramePr>
          <xdr:xfrm>
            <a:off x="0" y="0"/>
            <a:ext cx="0" cy="0"/>
          </xdr:xfrm>
          <a:graphic>
            <a:graphicData uri="http://schemas.microsoft.com/office/drawing/2010/slicer">
              <sle:slicer xmlns:sle="http://schemas.microsoft.com/office/drawing/2010/slicer" name="attacker"/>
            </a:graphicData>
          </a:graphic>
        </xdr:graphicFrame>
      </mc:Choice>
      <mc:Fallback>
        <xdr:sp macro="" textlink="">
          <xdr:nvSpPr>
            <xdr:cNvPr id="0" name=""/>
            <xdr:cNvSpPr>
              <a:spLocks noTextEdit="1"/>
            </xdr:cNvSpPr>
          </xdr:nvSpPr>
          <xdr:spPr>
            <a:xfrm>
              <a:off x="18464583" y="4239800"/>
              <a:ext cx="2535217" cy="1558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824230</xdr:colOff>
      <xdr:row>33</xdr:row>
      <xdr:rowOff>71886</xdr:rowOff>
    </xdr:from>
    <xdr:to>
      <xdr:col>23</xdr:col>
      <xdr:colOff>571500</xdr:colOff>
      <xdr:row>51</xdr:row>
      <xdr:rowOff>158749</xdr:rowOff>
    </xdr:to>
    <xdr:graphicFrame macro="">
      <xdr:nvGraphicFramePr>
        <xdr:cNvPr id="4" name="Chart 3">
          <a:extLst>
            <a:ext uri="{FF2B5EF4-FFF2-40B4-BE49-F238E27FC236}">
              <a16:creationId xmlns:a16="http://schemas.microsoft.com/office/drawing/2014/main" id="{B238C61E-9BF1-D2A8-60BF-5217FAEAC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33</xdr:row>
      <xdr:rowOff>54893</xdr:rowOff>
    </xdr:from>
    <xdr:to>
      <xdr:col>29</xdr:col>
      <xdr:colOff>952499</xdr:colOff>
      <xdr:row>51</xdr:row>
      <xdr:rowOff>127000</xdr:rowOff>
    </xdr:to>
    <xdr:graphicFrame macro="">
      <xdr:nvGraphicFramePr>
        <xdr:cNvPr id="5" name="Chart 4">
          <a:extLst>
            <a:ext uri="{FF2B5EF4-FFF2-40B4-BE49-F238E27FC236}">
              <a16:creationId xmlns:a16="http://schemas.microsoft.com/office/drawing/2014/main" id="{915DC74E-C332-F72D-5B1F-DDC459620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915897</xdr:colOff>
      <xdr:row>52</xdr:row>
      <xdr:rowOff>116259</xdr:rowOff>
    </xdr:from>
    <xdr:to>
      <xdr:col>27</xdr:col>
      <xdr:colOff>508000</xdr:colOff>
      <xdr:row>77</xdr:row>
      <xdr:rowOff>171150</xdr:rowOff>
    </xdr:to>
    <xdr:graphicFrame macro="">
      <xdr:nvGraphicFramePr>
        <xdr:cNvPr id="7" name="Chart 6">
          <a:extLst>
            <a:ext uri="{FF2B5EF4-FFF2-40B4-BE49-F238E27FC236}">
              <a16:creationId xmlns:a16="http://schemas.microsoft.com/office/drawing/2014/main" id="{1A325DC0-EC56-773B-0D0E-5C9A70544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118612</xdr:colOff>
      <xdr:row>51</xdr:row>
      <xdr:rowOff>185113</xdr:rowOff>
    </xdr:from>
    <xdr:to>
      <xdr:col>34</xdr:col>
      <xdr:colOff>825500</xdr:colOff>
      <xdr:row>77</xdr:row>
      <xdr:rowOff>124005</xdr:rowOff>
    </xdr:to>
    <xdr:graphicFrame macro="">
      <xdr:nvGraphicFramePr>
        <xdr:cNvPr id="3" name="Chart 2">
          <a:extLst>
            <a:ext uri="{FF2B5EF4-FFF2-40B4-BE49-F238E27FC236}">
              <a16:creationId xmlns:a16="http://schemas.microsoft.com/office/drawing/2014/main" id="{8375DF79-9E17-4F0E-83CB-4BD49A00C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1101900</xdr:colOff>
      <xdr:row>33</xdr:row>
      <xdr:rowOff>8092</xdr:rowOff>
    </xdr:from>
    <xdr:to>
      <xdr:col>34</xdr:col>
      <xdr:colOff>825499</xdr:colOff>
      <xdr:row>51</xdr:row>
      <xdr:rowOff>95250</xdr:rowOff>
    </xdr:to>
    <xdr:graphicFrame macro="">
      <xdr:nvGraphicFramePr>
        <xdr:cNvPr id="6" name="Chart 5">
          <a:extLst>
            <a:ext uri="{FF2B5EF4-FFF2-40B4-BE49-F238E27FC236}">
              <a16:creationId xmlns:a16="http://schemas.microsoft.com/office/drawing/2014/main" id="{31EE9296-422F-486F-8DCB-2B319445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203951</xdr:colOff>
      <xdr:row>23</xdr:row>
      <xdr:rowOff>120649</xdr:rowOff>
    </xdr:from>
    <xdr:to>
      <xdr:col>27</xdr:col>
      <xdr:colOff>483440</xdr:colOff>
      <xdr:row>32</xdr:row>
      <xdr:rowOff>87581</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72327977-E48B-4D1B-8378-72BC08C9E4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001797" y="4262803"/>
              <a:ext cx="2624105" cy="1549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494117</xdr:colOff>
      <xdr:row>23</xdr:row>
      <xdr:rowOff>122710</xdr:rowOff>
    </xdr:from>
    <xdr:to>
      <xdr:col>25</xdr:col>
      <xdr:colOff>13247</xdr:colOff>
      <xdr:row>32</xdr:row>
      <xdr:rowOff>104954</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CA33414F-EE8D-4A62-ADFF-4CB4B6B13F9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1263502" y="4264864"/>
              <a:ext cx="2547591" cy="1564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85186</xdr:colOff>
      <xdr:row>23</xdr:row>
      <xdr:rowOff>89821</xdr:rowOff>
    </xdr:from>
    <xdr:to>
      <xdr:col>30</xdr:col>
      <xdr:colOff>1943339</xdr:colOff>
      <xdr:row>32</xdr:row>
      <xdr:rowOff>116335</xdr:rowOff>
    </xdr:to>
    <mc:AlternateContent xmlns:mc="http://schemas.openxmlformats.org/markup-compatibility/2006">
      <mc:Choice xmlns:a14="http://schemas.microsoft.com/office/drawing/2010/main" Requires="a14">
        <xdr:graphicFrame macro="">
          <xdr:nvGraphicFramePr>
            <xdr:cNvPr id="10" name="country 2">
              <a:extLst>
                <a:ext uri="{FF2B5EF4-FFF2-40B4-BE49-F238E27FC236}">
                  <a16:creationId xmlns:a16="http://schemas.microsoft.com/office/drawing/2014/main" id="{2E043295-7E66-4F60-B791-4AF4765AD80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6833340" y="4231975"/>
              <a:ext cx="3772922" cy="1609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857250</xdr:colOff>
      <xdr:row>12</xdr:row>
      <xdr:rowOff>31750</xdr:rowOff>
    </xdr:from>
    <xdr:to>
      <xdr:col>34</xdr:col>
      <xdr:colOff>889000</xdr:colOff>
      <xdr:row>16</xdr:row>
      <xdr:rowOff>158337</xdr:rowOff>
    </xdr:to>
    <xdr:sp macro="" textlink="">
      <xdr:nvSpPr>
        <xdr:cNvPr id="11" name="Rectangle 10">
          <a:extLst>
            <a:ext uri="{FF2B5EF4-FFF2-40B4-BE49-F238E27FC236}">
              <a16:creationId xmlns:a16="http://schemas.microsoft.com/office/drawing/2014/main" id="{AC2FAEB9-59C6-1FBD-A767-78E46153962F}"/>
            </a:ext>
          </a:extLst>
        </xdr:cNvPr>
        <xdr:cNvSpPr/>
      </xdr:nvSpPr>
      <xdr:spPr>
        <a:xfrm>
          <a:off x="18351500" y="2317750"/>
          <a:ext cx="16510000" cy="88858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5400" b="1">
              <a:solidFill>
                <a:schemeClr val="tx1"/>
              </a:solidFill>
            </a:rPr>
            <a:t>ISREAL</a:t>
          </a:r>
          <a:r>
            <a:rPr lang="en-IN" sz="5400" b="1" baseline="0">
              <a:solidFill>
                <a:schemeClr val="tx1"/>
              </a:solidFill>
            </a:rPr>
            <a:t> - IRAN - USA WAR ANALYSIS DASHBOARD </a:t>
          </a:r>
          <a:endParaRPr lang="en-IN" sz="5400" b="1">
            <a:solidFill>
              <a:schemeClr val="tx1"/>
            </a:solidFill>
          </a:endParaRPr>
        </a:p>
      </xdr:txBody>
    </xdr:sp>
    <xdr:clientData/>
  </xdr:twoCellAnchor>
  <xdr:twoCellAnchor>
    <xdr:from>
      <xdr:col>22</xdr:col>
      <xdr:colOff>552137</xdr:colOff>
      <xdr:row>17</xdr:row>
      <xdr:rowOff>156455</xdr:rowOff>
    </xdr:from>
    <xdr:to>
      <xdr:col>26</xdr:col>
      <xdr:colOff>1109052</xdr:colOff>
      <xdr:row>21</xdr:row>
      <xdr:rowOff>187505</xdr:rowOff>
    </xdr:to>
    <xdr:sp macro="" textlink="$BY$24">
      <xdr:nvSpPr>
        <xdr:cNvPr id="13" name="Rectangle 12">
          <a:extLst>
            <a:ext uri="{FF2B5EF4-FFF2-40B4-BE49-F238E27FC236}">
              <a16:creationId xmlns:a16="http://schemas.microsoft.com/office/drawing/2014/main" id="{72D2EE3A-7262-4CD9-B29B-8859F81B2475}"/>
            </a:ext>
          </a:extLst>
        </xdr:cNvPr>
        <xdr:cNvSpPr/>
      </xdr:nvSpPr>
      <xdr:spPr>
        <a:xfrm>
          <a:off x="22523137" y="3394955"/>
          <a:ext cx="3541415" cy="85655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5400" b="1" i="0" u="none" strike="noStrike">
              <a:solidFill>
                <a:schemeClr val="tx1"/>
              </a:solidFill>
              <a:latin typeface="Calibri"/>
              <a:ea typeface="Calibri"/>
              <a:cs typeface="Calibri"/>
            </a:rPr>
            <a:t>  </a:t>
          </a:r>
          <a:fld id="{479F55A2-222D-473C-A95A-2F8079FA522E}" type="TxLink">
            <a:rPr lang="en-US" sz="5400" b="1" i="0" u="none" strike="noStrike">
              <a:solidFill>
                <a:schemeClr val="tx1"/>
              </a:solidFill>
              <a:latin typeface="Calibri"/>
              <a:ea typeface="Calibri"/>
              <a:cs typeface="Calibri"/>
            </a:rPr>
            <a:pPr marL="0" indent="0" algn="ctr"/>
            <a:t>1000</a:t>
          </a:fld>
          <a:endParaRPr lang="en-IN" sz="28700" b="1" i="0" u="none" strike="noStrike">
            <a:solidFill>
              <a:schemeClr val="tx1"/>
            </a:solidFill>
            <a:latin typeface="Calibri"/>
            <a:ea typeface="Calibri"/>
            <a:cs typeface="Calibri"/>
          </a:endParaRPr>
        </a:p>
      </xdr:txBody>
    </xdr:sp>
    <xdr:clientData/>
  </xdr:twoCellAnchor>
  <xdr:twoCellAnchor>
    <xdr:from>
      <xdr:col>31</xdr:col>
      <xdr:colOff>200270</xdr:colOff>
      <xdr:row>17</xdr:row>
      <xdr:rowOff>127000</xdr:rowOff>
    </xdr:from>
    <xdr:to>
      <xdr:col>34</xdr:col>
      <xdr:colOff>825499</xdr:colOff>
      <xdr:row>22</xdr:row>
      <xdr:rowOff>51885</xdr:rowOff>
    </xdr:to>
    <xdr:sp macro="" textlink="$BZ$24">
      <xdr:nvSpPr>
        <xdr:cNvPr id="15" name="Rectangle 14">
          <a:extLst>
            <a:ext uri="{FF2B5EF4-FFF2-40B4-BE49-F238E27FC236}">
              <a16:creationId xmlns:a16="http://schemas.microsoft.com/office/drawing/2014/main" id="{C774C5E3-AC79-4DE3-B5C5-D865AA393BE6}"/>
            </a:ext>
          </a:extLst>
        </xdr:cNvPr>
        <xdr:cNvSpPr/>
      </xdr:nvSpPr>
      <xdr:spPr>
        <a:xfrm>
          <a:off x="30934270" y="3365500"/>
          <a:ext cx="3863729" cy="94088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D04194D1-9921-4322-83E4-2522130C8042}" type="TxLink">
            <a:rPr lang="en-US" sz="6000" b="1" i="0" u="none" strike="noStrike">
              <a:solidFill>
                <a:srgbClr val="000000"/>
              </a:solidFill>
              <a:latin typeface="Calibri"/>
              <a:ea typeface="Calibri"/>
              <a:cs typeface="Calibri"/>
            </a:rPr>
            <a:pPr marL="0" indent="0" algn="ctr"/>
            <a:t>4000</a:t>
          </a:fld>
          <a:endParaRPr lang="en-IN" sz="333400" b="1" i="0" u="none" strike="noStrike">
            <a:solidFill>
              <a:schemeClr val="bg1"/>
            </a:solidFill>
            <a:latin typeface="Calibri"/>
            <a:ea typeface="Calibri"/>
            <a:cs typeface="Calibri"/>
          </a:endParaRPr>
        </a:p>
      </xdr:txBody>
    </xdr:sp>
    <xdr:clientData/>
  </xdr:twoCellAnchor>
  <xdr:twoCellAnchor>
    <xdr:from>
      <xdr:col>18</xdr:col>
      <xdr:colOff>914160</xdr:colOff>
      <xdr:row>17</xdr:row>
      <xdr:rowOff>152398</xdr:rowOff>
    </xdr:from>
    <xdr:to>
      <xdr:col>22</xdr:col>
      <xdr:colOff>360033</xdr:colOff>
      <xdr:row>21</xdr:row>
      <xdr:rowOff>176695</xdr:rowOff>
    </xdr:to>
    <xdr:sp macro="" textlink="">
      <xdr:nvSpPr>
        <xdr:cNvPr id="16" name="Rectangle 15">
          <a:extLst>
            <a:ext uri="{FF2B5EF4-FFF2-40B4-BE49-F238E27FC236}">
              <a16:creationId xmlns:a16="http://schemas.microsoft.com/office/drawing/2014/main" id="{A84F9BA2-35A1-4F33-AF24-7FFF1C4F0F6C}"/>
            </a:ext>
          </a:extLst>
        </xdr:cNvPr>
        <xdr:cNvSpPr/>
      </xdr:nvSpPr>
      <xdr:spPr>
        <a:xfrm>
          <a:off x="18408410" y="3390898"/>
          <a:ext cx="3922623" cy="84979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3600" b="1" i="0" u="none" strike="noStrike">
              <a:solidFill>
                <a:schemeClr val="tx1"/>
              </a:solidFill>
              <a:latin typeface="Calibri"/>
              <a:ea typeface="Calibri"/>
              <a:cs typeface="Calibri"/>
            </a:rPr>
            <a:t>TOTAL</a:t>
          </a:r>
          <a:r>
            <a:rPr lang="en-US" sz="3600" b="1" i="0" u="none" strike="noStrike" baseline="0">
              <a:solidFill>
                <a:schemeClr val="tx1"/>
              </a:solidFill>
              <a:latin typeface="Calibri"/>
              <a:ea typeface="Calibri"/>
              <a:cs typeface="Calibri"/>
            </a:rPr>
            <a:t> DEATHS </a:t>
          </a:r>
          <a:endParaRPr lang="en-US" sz="3600" b="1" i="0" u="none" strike="noStrike">
            <a:solidFill>
              <a:schemeClr val="tx1"/>
            </a:solidFill>
            <a:latin typeface="Calibri"/>
            <a:ea typeface="Calibri"/>
            <a:cs typeface="Calibri"/>
          </a:endParaRPr>
        </a:p>
      </xdr:txBody>
    </xdr:sp>
    <xdr:clientData/>
  </xdr:twoCellAnchor>
  <xdr:twoCellAnchor>
    <xdr:from>
      <xdr:col>27</xdr:col>
      <xdr:colOff>142194</xdr:colOff>
      <xdr:row>17</xdr:row>
      <xdr:rowOff>158750</xdr:rowOff>
    </xdr:from>
    <xdr:to>
      <xdr:col>31</xdr:col>
      <xdr:colOff>31749</xdr:colOff>
      <xdr:row>21</xdr:row>
      <xdr:rowOff>168627</xdr:rowOff>
    </xdr:to>
    <xdr:sp macro="" textlink="">
      <xdr:nvSpPr>
        <xdr:cNvPr id="17" name="Rectangle 16">
          <a:extLst>
            <a:ext uri="{FF2B5EF4-FFF2-40B4-BE49-F238E27FC236}">
              <a16:creationId xmlns:a16="http://schemas.microsoft.com/office/drawing/2014/main" id="{6154FF39-39C0-4B00-8158-ECB1CD412BD8}"/>
            </a:ext>
          </a:extLst>
        </xdr:cNvPr>
        <xdr:cNvSpPr/>
      </xdr:nvSpPr>
      <xdr:spPr>
        <a:xfrm>
          <a:off x="26272444" y="3397250"/>
          <a:ext cx="4493305" cy="83537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3600" b="1" i="0" u="none" strike="noStrike">
              <a:solidFill>
                <a:schemeClr val="tx1"/>
              </a:solidFill>
              <a:latin typeface="Calibri"/>
              <a:ea typeface="Calibri"/>
              <a:cs typeface="Calibri"/>
            </a:rPr>
            <a:t>TOTAL</a:t>
          </a:r>
          <a:r>
            <a:rPr lang="en-US" sz="3600" b="1" i="0" u="none" strike="noStrike" baseline="0">
              <a:solidFill>
                <a:schemeClr val="tx1"/>
              </a:solidFill>
              <a:latin typeface="Calibri"/>
              <a:ea typeface="Calibri"/>
              <a:cs typeface="Calibri"/>
            </a:rPr>
            <a:t> INJURED </a:t>
          </a:r>
          <a:endParaRPr lang="en-US" sz="3600" b="1" i="0" u="none" strike="noStrike">
            <a:solidFill>
              <a:schemeClr val="tx1"/>
            </a:solidFill>
            <a:latin typeface="Calibri"/>
            <a:ea typeface="Calibri"/>
            <a:cs typeface="Calibri"/>
          </a:endParaRPr>
        </a:p>
      </xdr:txBody>
    </xdr:sp>
    <xdr:clientData/>
  </xdr:twoCellAnchor>
  <xdr:twoCellAnchor editAs="oneCell">
    <xdr:from>
      <xdr:col>31</xdr:col>
      <xdr:colOff>399382</xdr:colOff>
      <xdr:row>18</xdr:row>
      <xdr:rowOff>31750</xdr:rowOff>
    </xdr:from>
    <xdr:to>
      <xdr:col>32</xdr:col>
      <xdr:colOff>471238</xdr:colOff>
      <xdr:row>21</xdr:row>
      <xdr:rowOff>76736</xdr:rowOff>
    </xdr:to>
    <xdr:pic>
      <xdr:nvPicPr>
        <xdr:cNvPr id="22" name="Graphic 21" descr="Needle with solid fill">
          <a:extLst>
            <a:ext uri="{FF2B5EF4-FFF2-40B4-BE49-F238E27FC236}">
              <a16:creationId xmlns:a16="http://schemas.microsoft.com/office/drawing/2014/main" id="{73DB8FC0-C7D2-2F48-6977-872C0D4E5C6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133382" y="3460750"/>
          <a:ext cx="675106" cy="679986"/>
        </a:xfrm>
        <a:prstGeom prst="rect">
          <a:avLst/>
        </a:prstGeom>
      </xdr:spPr>
    </xdr:pic>
    <xdr:clientData/>
  </xdr:twoCellAnchor>
  <xdr:twoCellAnchor editAs="oneCell">
    <xdr:from>
      <xdr:col>31</xdr:col>
      <xdr:colOff>17412</xdr:colOff>
      <xdr:row>23</xdr:row>
      <xdr:rowOff>63500</xdr:rowOff>
    </xdr:from>
    <xdr:to>
      <xdr:col>34</xdr:col>
      <xdr:colOff>843936</xdr:colOff>
      <xdr:row>32</xdr:row>
      <xdr:rowOff>166369</xdr:rowOff>
    </xdr:to>
    <xdr:pic>
      <xdr:nvPicPr>
        <xdr:cNvPr id="14" name="Picture 13">
          <a:extLst>
            <a:ext uri="{FF2B5EF4-FFF2-40B4-BE49-F238E27FC236}">
              <a16:creationId xmlns:a16="http://schemas.microsoft.com/office/drawing/2014/main" id="{AC1E2FB5-3E15-0E63-0A15-59B752C437A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0751412" y="4508500"/>
          <a:ext cx="4065024" cy="1817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476250</xdr:colOff>
      <xdr:row>18</xdr:row>
      <xdr:rowOff>0</xdr:rowOff>
    </xdr:from>
    <xdr:to>
      <xdr:col>24</xdr:col>
      <xdr:colOff>432594</xdr:colOff>
      <xdr:row>21</xdr:row>
      <xdr:rowOff>152400</xdr:rowOff>
    </xdr:to>
    <xdr:pic>
      <xdr:nvPicPr>
        <xdr:cNvPr id="19" name="Graphic 18" descr="Skull with solid fill">
          <a:extLst>
            <a:ext uri="{FF2B5EF4-FFF2-40B4-BE49-F238E27FC236}">
              <a16:creationId xmlns:a16="http://schemas.microsoft.com/office/drawing/2014/main" id="{E81409C7-C861-C1BA-A3D0-C35C6EF2A45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447250" y="3429000"/>
          <a:ext cx="1162844" cy="787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49530</xdr:rowOff>
    </xdr:from>
    <xdr:to>
      <xdr:col>6</xdr:col>
      <xdr:colOff>45720</xdr:colOff>
      <xdr:row>26</xdr:row>
      <xdr:rowOff>49530</xdr:rowOff>
    </xdr:to>
    <xdr:graphicFrame macro="">
      <xdr:nvGraphicFramePr>
        <xdr:cNvPr id="3" name="Chart 2">
          <a:extLst>
            <a:ext uri="{FF2B5EF4-FFF2-40B4-BE49-F238E27FC236}">
              <a16:creationId xmlns:a16="http://schemas.microsoft.com/office/drawing/2014/main" id="{F5B9C703-334B-81D7-F67E-F435A93C5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Tharun" refreshedDate="46102.612701157406" createdVersion="8" refreshedVersion="8" minRefreshableVersion="3" recordCount="10" xr:uid="{92011C17-F9F6-4FAC-AE65-B291F6364395}">
  <cacheSource type="worksheet">
    <worksheetSource ref="A1:F11" sheet="Sites_Targeted"/>
  </cacheSource>
  <cacheFields count="6">
    <cacheField name="date" numFmtId="0">
      <sharedItems count="2">
        <s v="2026-02-28"/>
        <s v="2026-03-13"/>
      </sharedItems>
    </cacheField>
    <cacheField name="attacker" numFmtId="0">
      <sharedItems count="3">
        <s v="USA/Israel"/>
        <s v="USA"/>
        <s v="Iran"/>
      </sharedItems>
    </cacheField>
    <cacheField name="target_country" numFmtId="0">
      <sharedItems count="7">
        <s v="Iran"/>
        <s v="Israel"/>
        <s v="UAE"/>
        <s v="Bahrain"/>
        <s v="Kuwait"/>
        <s v="Iraq"/>
        <s v="Qatar"/>
      </sharedItems>
    </cacheField>
    <cacheField name="site_name" numFmtId="0">
      <sharedItems/>
    </cacheField>
    <cacheField name="site_type" numFmtId="0">
      <sharedItems count="6">
        <s v="Military"/>
        <s v="Nuclear"/>
        <s v="Oil/Military"/>
        <s v="City"/>
        <s v="Energy"/>
        <s v="Military/Diplomatic"/>
      </sharedItems>
    </cacheField>
    <cacheField name="impact" numFmtId="0">
      <sharedItems count="9">
        <s v="Destroyed"/>
        <s v="Heavy damage"/>
        <s v="90+ sites hit"/>
        <s v="Missile impact"/>
        <s v="Missile strikes"/>
        <s v="Damaged"/>
        <s v="Targeted"/>
        <s v="Struck"/>
        <s v="Intercepted"/>
      </sharedItems>
    </cacheField>
  </cacheFields>
  <extLst>
    <ext xmlns:x14="http://schemas.microsoft.com/office/spreadsheetml/2009/9/main" uri="{725AE2AE-9491-48be-B2B4-4EB974FC3084}">
      <x14:pivotCacheDefinition pivotCacheId="1142754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Tharun" refreshedDate="46102.649926736114" createdVersion="8" refreshedVersion="8" minRefreshableVersion="3" recordCount="6" xr:uid="{21ECB29F-6E8B-41A7-8CB5-D706E2AE52C4}">
  <cacheSource type="worksheet">
    <worksheetSource ref="A1:E7" sheet="Missiles_Launched"/>
  </cacheSource>
  <cacheFields count="5">
    <cacheField name="date" numFmtId="0">
      <sharedItems count="3">
        <s v="2026-02-28"/>
        <s v="2026-03-10"/>
        <s v="2026-03-16"/>
      </sharedItems>
    </cacheField>
    <cacheField name="country" numFmtId="0">
      <sharedItems count="3">
        <s v="Iran"/>
        <s v="USA"/>
        <s v="USA/Israel"/>
      </sharedItems>
    </cacheField>
    <cacheField name="missile_count" numFmtId="0">
      <sharedItems containsMixedTypes="1" containsNumber="1" containsInteger="1" minValue="100" maxValue="1000" count="5">
        <s v="428"/>
        <s v="24"/>
        <n v="1000"/>
        <s v="9"/>
        <n v="100"/>
      </sharedItems>
    </cacheField>
    <cacheField name="drone_count" numFmtId="0">
      <sharedItems containsMixedTypes="1" containsNumber="1" containsInteger="1" minValue="0" maxValue="2200" count="4">
        <s v="345"/>
        <s v="48"/>
        <n v="2200"/>
        <n v="0"/>
      </sharedItems>
    </cacheField>
    <cacheField name="notes" numFmtId="0">
      <sharedItems/>
    </cacheField>
  </cacheFields>
  <extLst>
    <ext xmlns:x14="http://schemas.microsoft.com/office/spreadsheetml/2009/9/main" uri="{725AE2AE-9491-48be-B2B4-4EB974FC3084}">
      <x14:pivotCacheDefinition pivotCacheId="15428123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Tharun" refreshedDate="46102.664646990743" createdVersion="8" refreshedVersion="8" minRefreshableVersion="3" recordCount="6" xr:uid="{B286D61D-ECBC-4880-832C-6D43E05AA1E0}">
  <cacheSource type="worksheet">
    <worksheetSource ref="A1:E7" sheet="Airstrikes_Aircraft"/>
  </cacheSource>
  <cacheFields count="5">
    <cacheField name="date" numFmtId="0">
      <sharedItems count="3">
        <s v="2026-02-28"/>
        <s v="2026-03-02"/>
        <s v="2026-03-16"/>
      </sharedItems>
    </cacheField>
    <cacheField name="country" numFmtId="0">
      <sharedItems count="4">
        <s v="USA"/>
        <s v="Israel"/>
        <s v="Hezbollah"/>
        <s v="Iran"/>
      </sharedItems>
    </cacheField>
    <cacheField name="aircraft_used" numFmtId="0">
      <sharedItems count="6">
        <s v="B-2, B-1, B-52"/>
        <s v="Tomahawk Missiles"/>
        <s v="Fighter Jets"/>
        <s v="Drones &amp; Missiles"/>
        <s v="UAVs"/>
        <s v="MQ-9 Reaper"/>
      </sharedItems>
    </cacheField>
    <cacheField name="airstrikes" numFmtId="0">
      <sharedItems containsSemiMixedTypes="0" containsString="0" containsNumber="1" containsInteger="1" minValue="0" maxValue="2000"/>
    </cacheField>
    <cacheField name="details" numFmtId="0">
      <sharedItems/>
    </cacheField>
  </cacheFields>
  <extLst>
    <ext xmlns:x14="http://schemas.microsoft.com/office/spreadsheetml/2009/9/main" uri="{725AE2AE-9491-48be-B2B4-4EB974FC3084}">
      <x14:pivotCacheDefinition pivotCacheId="9250413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Tharun" refreshedDate="46102.670013541669" createdVersion="8" refreshedVersion="8" minRefreshableVersion="3" recordCount="7" xr:uid="{C8876BEC-4D46-4BD7-8004-EB3BDFF1C1AE}">
  <cacheSource type="worksheet">
    <worksheetSource ref="A1:E8" sheet="Cities_Impact"/>
  </cacheSource>
  <cacheFields count="5">
    <cacheField name="country" numFmtId="0">
      <sharedItems count="7">
        <s v="Iran"/>
        <s v="Israel"/>
        <s v="UAE"/>
        <s v="Lebanon"/>
        <s v="Qatar"/>
        <s v="Kuwait"/>
        <s v="Iraq"/>
      </sharedItems>
    </cacheField>
    <cacheField name="city" numFmtId="0">
      <sharedItems count="7">
        <s v="Tehran"/>
        <s v="Tel Aviv"/>
        <s v="Dubai/Abu Dhabi"/>
        <s v="Beirut"/>
        <s v="Doha"/>
        <s v="Kuwait City"/>
        <s v="Erbil"/>
      </sharedItems>
    </cacheField>
    <cacheField name="deaths" numFmtId="0">
      <sharedItems containsSemiMixedTypes="0" containsString="0" containsNumber="1" containsInteger="1" minValue="0" maxValue="1000"/>
    </cacheField>
    <cacheField name="injured" numFmtId="0">
      <sharedItems containsSemiMixedTypes="0" containsString="0" containsNumber="1" containsInteger="1" minValue="10" maxValue="4000"/>
    </cacheField>
    <cacheField name="economic_impact" numFmtId="0">
      <sharedItems/>
    </cacheField>
  </cacheFields>
  <extLst>
    <ext xmlns:x14="http://schemas.microsoft.com/office/spreadsheetml/2009/9/main" uri="{725AE2AE-9491-48be-B2B4-4EB974FC3084}">
      <x14:pivotCacheDefinition pivotCacheId="301748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s v="Tehran Military HQ"/>
    <x v="0"/>
    <x v="0"/>
  </r>
  <r>
    <x v="0"/>
    <x v="0"/>
    <x v="0"/>
    <s v="Nuclear Facilities"/>
    <x v="1"/>
    <x v="1"/>
  </r>
  <r>
    <x v="1"/>
    <x v="1"/>
    <x v="0"/>
    <s v="Kharg Island"/>
    <x v="2"/>
    <x v="2"/>
  </r>
  <r>
    <x v="0"/>
    <x v="2"/>
    <x v="1"/>
    <s v="Tel Aviv"/>
    <x v="3"/>
    <x v="3"/>
  </r>
  <r>
    <x v="0"/>
    <x v="2"/>
    <x v="1"/>
    <s v="Northern Israel"/>
    <x v="3"/>
    <x v="4"/>
  </r>
  <r>
    <x v="0"/>
    <x v="2"/>
    <x v="2"/>
    <s v="Fujairah Oil Facility"/>
    <x v="4"/>
    <x v="5"/>
  </r>
  <r>
    <x v="0"/>
    <x v="2"/>
    <x v="3"/>
    <s v="US Naval Base"/>
    <x v="0"/>
    <x v="6"/>
  </r>
  <r>
    <x v="0"/>
    <x v="2"/>
    <x v="4"/>
    <s v="US Military Base"/>
    <x v="0"/>
    <x v="7"/>
  </r>
  <r>
    <x v="0"/>
    <x v="2"/>
    <x v="5"/>
    <s v="US Consulate &amp; Airbase"/>
    <x v="5"/>
    <x v="6"/>
  </r>
  <r>
    <x v="0"/>
    <x v="2"/>
    <x v="6"/>
    <s v="Military Installations"/>
    <x v="0"/>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s v="Day 1 peak"/>
  </r>
  <r>
    <x v="1"/>
    <x v="0"/>
    <x v="1"/>
    <x v="1"/>
    <s v="Reduced capacity"/>
  </r>
  <r>
    <x v="2"/>
    <x v="0"/>
    <x v="2"/>
    <x v="2"/>
    <s v="Cumulative"/>
  </r>
  <r>
    <x v="2"/>
    <x v="0"/>
    <x v="3"/>
    <x v="3"/>
    <s v="Recent daily low"/>
  </r>
  <r>
    <x v="0"/>
    <x v="1"/>
    <x v="2"/>
    <x v="3"/>
    <s v="Airstrike wave"/>
  </r>
  <r>
    <x v="2"/>
    <x v="2"/>
    <x v="4"/>
    <x v="3"/>
    <s v="7000+ targets hi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n v="1000"/>
    <s v="Strategic strikes"/>
  </r>
  <r>
    <x v="0"/>
    <x v="0"/>
    <x v="1"/>
    <n v="300"/>
    <s v="Naval strikes"/>
  </r>
  <r>
    <x v="0"/>
    <x v="1"/>
    <x v="2"/>
    <n v="500"/>
    <s v="Decapitation strikes"/>
  </r>
  <r>
    <x v="1"/>
    <x v="2"/>
    <x v="3"/>
    <n v="200"/>
    <s v="Coordinated attack"/>
  </r>
  <r>
    <x v="2"/>
    <x v="3"/>
    <x v="4"/>
    <n v="2000"/>
    <s v="Multi-country strikes"/>
  </r>
  <r>
    <x v="2"/>
    <x v="0"/>
    <x v="5"/>
    <n v="0"/>
    <s v="Some destroyed"/>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1000"/>
    <n v="4000"/>
    <s v="Infrastructure damage"/>
  </r>
  <r>
    <x v="1"/>
    <x v="1"/>
    <n v="15"/>
    <n v="3000"/>
    <s v="Residential damage"/>
  </r>
  <r>
    <x v="2"/>
    <x v="2"/>
    <n v="7"/>
    <n v="145"/>
    <s v="Property damage"/>
  </r>
  <r>
    <x v="3"/>
    <x v="3"/>
    <n v="600"/>
    <n v="1500"/>
    <s v="Mass displacement"/>
  </r>
  <r>
    <x v="4"/>
    <x v="4"/>
    <n v="0"/>
    <n v="16"/>
    <s v="Airspace shutdown"/>
  </r>
  <r>
    <x v="5"/>
    <x v="5"/>
    <n v="0"/>
    <n v="32"/>
    <s v="Military base damage"/>
  </r>
  <r>
    <x v="6"/>
    <x v="6"/>
    <n v="10"/>
    <n v="10"/>
    <s v="Intercepti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9A0A26-50FB-491C-9F28-64FF41A67EC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Y23:BZ24" firstHeaderRow="0" firstDataRow="1" firstDataCol="0"/>
  <pivotFields count="5">
    <pivotField showAll="0">
      <items count="8">
        <item x="0"/>
        <item h="1" x="6"/>
        <item h="1" x="1"/>
        <item h="1" x="5"/>
        <item h="1" x="3"/>
        <item h="1" x="4"/>
        <item h="1" x="2"/>
        <item t="default"/>
      </items>
    </pivotField>
    <pivotField showAll="0">
      <items count="8">
        <item x="3"/>
        <item x="4"/>
        <item x="2"/>
        <item x="6"/>
        <item x="5"/>
        <item x="0"/>
        <item x="1"/>
        <item t="default"/>
      </items>
    </pivotField>
    <pivotField dataField="1" showAll="0"/>
    <pivotField dataField="1" showAll="0"/>
    <pivotField showAll="0"/>
  </pivotFields>
  <rowItems count="1">
    <i/>
  </rowItems>
  <colFields count="1">
    <field x="-2"/>
  </colFields>
  <colItems count="2">
    <i>
      <x/>
    </i>
    <i i="1">
      <x v="1"/>
    </i>
  </colItems>
  <dataFields count="2">
    <dataField name="Sum of deaths" fld="2" baseField="0" baseItem="0"/>
    <dataField name="Sum of injured"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8B1D03-57BD-42DC-A7B3-15A9F538AC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Y42:BZ45" firstHeaderRow="1" firstDataRow="1" firstDataCol="1"/>
  <pivotFields count="6">
    <pivotField showAll="0">
      <items count="3">
        <item x="0"/>
        <item x="1"/>
        <item t="default"/>
      </items>
    </pivotField>
    <pivotField showAll="0">
      <items count="4">
        <item x="2"/>
        <item h="1" x="1"/>
        <item h="1" x="0"/>
        <item t="default"/>
      </items>
    </pivotField>
    <pivotField showAll="0">
      <items count="8">
        <item x="3"/>
        <item x="0"/>
        <item x="5"/>
        <item x="1"/>
        <item x="4"/>
        <item x="6"/>
        <item x="2"/>
        <item t="default"/>
      </items>
    </pivotField>
    <pivotField showAll="0"/>
    <pivotField showAll="0">
      <items count="7">
        <item x="3"/>
        <item x="4"/>
        <item x="0"/>
        <item x="5"/>
        <item x="1"/>
        <item x="2"/>
        <item t="default"/>
      </items>
    </pivotField>
    <pivotField axis="axisRow" dataField="1" showAll="0">
      <items count="10">
        <item x="2"/>
        <item x="5"/>
        <item x="0"/>
        <item x="1"/>
        <item h="1" x="8"/>
        <item h="1" x="3"/>
        <item x="4"/>
        <item h="1" x="7"/>
        <item h="1" x="6"/>
        <item t="default"/>
      </items>
    </pivotField>
  </pivotFields>
  <rowFields count="1">
    <field x="5"/>
  </rowFields>
  <rowItems count="3">
    <i>
      <x v="1"/>
    </i>
    <i>
      <x v="6"/>
    </i>
    <i t="grand">
      <x/>
    </i>
  </rowItems>
  <colItems count="1">
    <i/>
  </colItems>
  <dataFields count="1">
    <dataField name="Count of impact" fld="5"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847DC-79A9-4BE6-BFE5-770180CB59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Y33:BZ38" firstHeaderRow="1" firstDataRow="1" firstDataCol="1"/>
  <pivotFields count="6">
    <pivotField showAll="0">
      <items count="3">
        <item x="0"/>
        <item x="1"/>
        <item t="default"/>
      </items>
    </pivotField>
    <pivotField showAll="0">
      <items count="4">
        <item x="2"/>
        <item h="1" x="1"/>
        <item h="1" x="0"/>
        <item t="default"/>
      </items>
    </pivotField>
    <pivotField showAll="0">
      <items count="8">
        <item x="3"/>
        <item x="0"/>
        <item x="5"/>
        <item x="1"/>
        <item x="4"/>
        <item x="6"/>
        <item x="2"/>
        <item t="default"/>
      </items>
    </pivotField>
    <pivotField showAll="0"/>
    <pivotField axis="axisRow" dataField="1" showAll="0">
      <items count="7">
        <item x="3"/>
        <item x="4"/>
        <item x="0"/>
        <item x="5"/>
        <item x="1"/>
        <item x="2"/>
        <item t="default"/>
      </items>
    </pivotField>
    <pivotField showAll="0"/>
  </pivotFields>
  <rowFields count="1">
    <field x="4"/>
  </rowFields>
  <rowItems count="5">
    <i>
      <x/>
    </i>
    <i>
      <x v="1"/>
    </i>
    <i>
      <x v="2"/>
    </i>
    <i>
      <x v="3"/>
    </i>
    <i t="grand">
      <x/>
    </i>
  </rowItems>
  <colItems count="1">
    <i/>
  </colItems>
  <dataFields count="1">
    <dataField name="Count of site_type" fld="4"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4"/>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2C61F-249F-4E6C-A437-883EBB9E07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Z52:CA59" firstHeaderRow="1" firstDataRow="1" firstDataCol="1"/>
  <pivotFields count="6">
    <pivotField showAll="0">
      <items count="3">
        <item x="0"/>
        <item x="1"/>
        <item t="default"/>
      </items>
    </pivotField>
    <pivotField showAll="0">
      <items count="4">
        <item x="2"/>
        <item h="1" x="1"/>
        <item h="1" x="0"/>
        <item t="default"/>
      </items>
    </pivotField>
    <pivotField axis="axisRow" dataField="1" showAll="0">
      <items count="8">
        <item x="3"/>
        <item x="0"/>
        <item x="5"/>
        <item x="1"/>
        <item x="4"/>
        <item x="6"/>
        <item x="2"/>
        <item t="default"/>
      </items>
    </pivotField>
    <pivotField showAll="0"/>
    <pivotField showAll="0"/>
    <pivotField showAll="0"/>
  </pivotFields>
  <rowFields count="1">
    <field x="2"/>
  </rowFields>
  <rowItems count="7">
    <i>
      <x/>
    </i>
    <i>
      <x v="2"/>
    </i>
    <i>
      <x v="3"/>
    </i>
    <i>
      <x v="4"/>
    </i>
    <i>
      <x v="5"/>
    </i>
    <i>
      <x v="6"/>
    </i>
    <i t="grand">
      <x/>
    </i>
  </rowItems>
  <colItems count="1">
    <i/>
  </colItems>
  <dataFields count="1">
    <dataField name="Count of target_country" fld="2"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BFF73-AEB4-445D-ACB3-C4754FEB675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D4" firstHeaderRow="1" firstDataRow="1" firstDataCol="0"/>
  <pivotFields count="5">
    <pivotField showAll="0">
      <items count="4">
        <item x="0"/>
        <item x="1"/>
        <item x="2"/>
        <item t="default"/>
      </items>
    </pivotField>
    <pivotField showAll="0">
      <items count="4">
        <item x="0"/>
        <item h="1" x="1"/>
        <item h="1" x="2"/>
        <item t="default"/>
      </items>
    </pivotField>
    <pivotField dataField="1" showAll="0">
      <items count="6">
        <item x="4"/>
        <item x="2"/>
        <item x="1"/>
        <item x="0"/>
        <item x="3"/>
        <item t="default"/>
      </items>
    </pivotField>
    <pivotField showAll="0"/>
    <pivotField showAll="0"/>
  </pivotFields>
  <rowItems count="1">
    <i/>
  </rowItems>
  <colItems count="1">
    <i/>
  </colItems>
  <dataFields count="1">
    <dataField name="Sum of missile_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BE3576-5325-4724-9345-39F39DFAA04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7:J11" firstHeaderRow="0" firstDataRow="1" firstDataCol="1"/>
  <pivotFields count="5">
    <pivotField axis="axisRow" showAll="0">
      <items count="4">
        <item x="0"/>
        <item x="1"/>
        <item x="2"/>
        <item t="default"/>
      </items>
    </pivotField>
    <pivotField showAll="0">
      <items count="4">
        <item x="0"/>
        <item h="1" x="1"/>
        <item h="1" x="2"/>
        <item t="default"/>
      </items>
    </pivotField>
    <pivotField dataField="1" showAll="0">
      <items count="6">
        <item x="4"/>
        <item x="2"/>
        <item x="1"/>
        <item x="0"/>
        <item x="3"/>
        <item t="default"/>
      </items>
    </pivotField>
    <pivotField dataField="1" showAll="0">
      <items count="5">
        <item x="3"/>
        <item x="2"/>
        <item x="0"/>
        <item x="1"/>
        <item t="default"/>
      </items>
    </pivotField>
    <pivotField showAll="0"/>
  </pivotFields>
  <rowFields count="1">
    <field x="0"/>
  </rowFields>
  <rowItems count="4">
    <i>
      <x/>
    </i>
    <i>
      <x v="1"/>
    </i>
    <i>
      <x v="2"/>
    </i>
    <i t="grand">
      <x/>
    </i>
  </rowItems>
  <colFields count="1">
    <field x="-2"/>
  </colFields>
  <colItems count="2">
    <i>
      <x/>
    </i>
    <i i="1">
      <x v="1"/>
    </i>
  </colItems>
  <dataFields count="2">
    <dataField name="MISSILE COUNT " fld="2" baseField="0" baseItem="0"/>
    <dataField name="DRONES COUNT " fld="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17478E-ACCF-47A3-B55D-BB3326F96E4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5">
    <pivotField showAll="0">
      <items count="4">
        <item x="0"/>
        <item x="1"/>
        <item x="2"/>
        <item t="default"/>
      </items>
    </pivotField>
    <pivotField showAll="0">
      <items count="4">
        <item x="0"/>
        <item h="1" x="1"/>
        <item h="1" x="2"/>
        <item t="default"/>
      </items>
    </pivotField>
    <pivotField showAll="0">
      <items count="6">
        <item x="4"/>
        <item x="2"/>
        <item x="1"/>
        <item x="0"/>
        <item x="3"/>
        <item t="default"/>
      </items>
    </pivotField>
    <pivotField dataField="1" showAll="0">
      <items count="5">
        <item x="3"/>
        <item x="2"/>
        <item x="0"/>
        <item x="1"/>
        <item t="default"/>
      </items>
    </pivotField>
    <pivotField showAll="0"/>
  </pivotFields>
  <rowItems count="1">
    <i/>
  </rowItems>
  <colItems count="1">
    <i/>
  </colItems>
  <dataFields count="1">
    <dataField name="Sum of drone_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51C7DA-6F76-4F00-A2AC-1317E610B463}"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B14" firstHeaderRow="1" firstDataRow="1" firstDataCol="1"/>
  <pivotFields count="5">
    <pivotField showAll="0">
      <items count="4">
        <item x="0"/>
        <item x="1"/>
        <item x="2"/>
        <item t="default"/>
      </items>
    </pivotField>
    <pivotField showAll="0">
      <items count="5">
        <item h="1" x="2"/>
        <item h="1" x="3"/>
        <item h="1" x="1"/>
        <item x="0"/>
        <item t="default"/>
      </items>
    </pivotField>
    <pivotField axis="axisRow" showAll="0">
      <items count="7">
        <item x="0"/>
        <item x="3"/>
        <item x="2"/>
        <item x="5"/>
        <item x="1"/>
        <item x="4"/>
        <item t="default"/>
      </items>
    </pivotField>
    <pivotField dataField="1" showAll="0"/>
    <pivotField showAll="0"/>
  </pivotFields>
  <rowFields count="1">
    <field x="2"/>
  </rowFields>
  <rowItems count="4">
    <i>
      <x/>
    </i>
    <i>
      <x v="3"/>
    </i>
    <i>
      <x v="4"/>
    </i>
    <i t="grand">
      <x/>
    </i>
  </rowItems>
  <colItems count="1">
    <i/>
  </colItems>
  <dataFields count="1">
    <dataField name="Sum of airstrikes" fld="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F2393D-A30E-4922-9A12-0C35B1B646BD}"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5" firstHeaderRow="0" firstDataRow="1" firstDataCol="1"/>
  <pivotFields count="5">
    <pivotField showAll="0">
      <items count="8">
        <item x="0"/>
        <item h="1" x="6"/>
        <item h="1" x="1"/>
        <item h="1" x="5"/>
        <item h="1" x="3"/>
        <item h="1" x="4"/>
        <item h="1" x="2"/>
        <item t="default"/>
      </items>
    </pivotField>
    <pivotField axis="axisRow" showAll="0">
      <items count="8">
        <item x="3"/>
        <item x="4"/>
        <item x="2"/>
        <item x="6"/>
        <item x="5"/>
        <item x="0"/>
        <item x="1"/>
        <item t="default"/>
      </items>
    </pivotField>
    <pivotField dataField="1" showAll="0"/>
    <pivotField dataField="1" showAll="0"/>
    <pivotField showAll="0"/>
  </pivotFields>
  <rowFields count="1">
    <field x="1"/>
  </rowFields>
  <rowItems count="2">
    <i>
      <x v="5"/>
    </i>
    <i t="grand">
      <x/>
    </i>
  </rowItems>
  <colFields count="1">
    <field x="-2"/>
  </colFields>
  <colItems count="2">
    <i>
      <x/>
    </i>
    <i i="1">
      <x v="1"/>
    </i>
  </colItems>
  <dataFields count="2">
    <dataField name="Sum of deaths" fld="2" baseField="0" baseItem="0"/>
    <dataField name="Sum of injured"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er" xr10:uid="{BEA4A208-8952-45A8-86DE-6938517A8826}" sourceName="attacker">
  <pivotTables>
    <pivotTable tabId="9" name="PivotTable1"/>
    <pivotTable tabId="9" name="PivotTable2"/>
    <pivotTable tabId="9" name="PivotTable3"/>
  </pivotTables>
  <data>
    <tabular pivotCacheId="1142754356">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5CBA95F-2430-4496-96DA-A74D46A61174}" sourceName="country">
  <pivotTables>
    <pivotTable tabId="14" name="PivotTable9"/>
    <pivotTable tabId="14" name="PivotTable12"/>
    <pivotTable tabId="14" name="PivotTable13"/>
  </pivotTables>
  <data>
    <tabular pivotCacheId="1542812316">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7760E30-294D-433F-BC53-388DC1E94B5D}" sourceName="country">
  <pivotTables>
    <pivotTable tabId="15" name="PivotTable17"/>
  </pivotTables>
  <data>
    <tabular pivotCacheId="92504137">
      <items count="4">
        <i x="2"/>
        <i x="3"/>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ADA96634-5E98-46FC-83A6-DF50578E39C1}" sourceName="country">
  <pivotTables>
    <pivotTable tabId="16" name="PivotTable18"/>
    <pivotTable tabId="9" name="PivotTable4"/>
  </pivotTables>
  <data>
    <tabular pivotCacheId="301748811">
      <items count="7">
        <i x="0" s="1"/>
        <i x="6"/>
        <i x="1"/>
        <i x="5"/>
        <i x="3"/>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acker" xr10:uid="{16C795AC-3C45-44ED-A12B-101638A15F9F}" cache="Slicer_attacker" caption="Attacker" columnCount="2" style="SlicerStyleLight4" rowHeight="468000"/>
  <slicer name="country" xr10:uid="{F2BA8626-49A7-459B-8658-FE6D7AAC2DC1}" cache="Slicer_country" caption="Country-Missiles" columnCount="3" style="SlicerStyleLight4" rowHeight="1044000"/>
  <slicer name="country 1" xr10:uid="{3892E47F-67CB-4D11-AC01-2234CE1E1AFF}" cache="Slicer_country1" caption="Country-Airstrikes" columnCount="2" style="SlicerStyleLight4" rowHeight="504000"/>
  <slicer name="country 2" xr10:uid="{43A4C054-1087-401A-9449-46DFD0744BF4}" cache="Slicer_country2" caption="Country - Death&amp;Injured" columnCount="3" style="SlicerStyleLigh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48696-8BF8-46DA-8A8D-9DFB5791A271}" name="Table2" displayName="Table2" ref="BS21:BT29" totalsRowShown="0" headerRowDxfId="3" dataDxfId="2">
  <autoFilter ref="BS21:BT29" xr:uid="{97E48696-8BF8-46DA-8A8D-9DFB5791A271}"/>
  <tableColumns count="2">
    <tableColumn id="1" xr3:uid="{85A2F032-9235-4F4E-8964-637A4D84A97B}" name="DATE " dataDxfId="1"/>
    <tableColumn id="2" xr3:uid="{A711C9E2-5C93-4490-9F73-D3031ABC8503}" name="EVENT" dataDxfId="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C49C-6D0C-4B61-813C-6DE9796DB9D6}">
  <dimension ref="AR18:CA59"/>
  <sheetViews>
    <sheetView showGridLines="0" tabSelected="1" topLeftCell="N10" zoomScale="39" zoomScaleNormal="40" workbookViewId="0">
      <selection activeCell="R38" sqref="R38"/>
    </sheetView>
  </sheetViews>
  <sheetFormatPr defaultRowHeight="14.4" x14ac:dyDescent="0.3"/>
  <cols>
    <col min="1" max="1" width="13.33203125" bestFit="1" customWidth="1"/>
    <col min="2" max="2" width="22.21875" bestFit="1" customWidth="1"/>
    <col min="3" max="3" width="10.77734375" bestFit="1" customWidth="1"/>
    <col min="4" max="4" width="17" bestFit="1" customWidth="1"/>
    <col min="5" max="5" width="16.88671875" bestFit="1" customWidth="1"/>
    <col min="8" max="8" width="13.33203125" bestFit="1" customWidth="1"/>
    <col min="9" max="9" width="14.6640625" bestFit="1" customWidth="1"/>
    <col min="13" max="13" width="12.5546875" bestFit="1" customWidth="1"/>
    <col min="14" max="14" width="20.44140625" bestFit="1" customWidth="1"/>
    <col min="15" max="15" width="16.88671875" bestFit="1" customWidth="1"/>
    <col min="16" max="16" width="16.5546875" bestFit="1" customWidth="1"/>
    <col min="18" max="18" width="27.21875" customWidth="1"/>
    <col min="19" max="19" width="39.109375" customWidth="1"/>
    <col min="26" max="27" width="17.21875" bestFit="1" customWidth="1"/>
    <col min="30" max="30" width="19.21875" bestFit="1" customWidth="1"/>
    <col min="31" max="31" width="29.88671875" bestFit="1" customWidth="1"/>
    <col min="33" max="33" width="19.21875" bestFit="1" customWidth="1"/>
    <col min="34" max="34" width="19" bestFit="1" customWidth="1"/>
    <col min="35" max="35" width="19.5546875" bestFit="1" customWidth="1"/>
    <col min="37" max="37" width="19.21875" bestFit="1" customWidth="1"/>
    <col min="38" max="38" width="20.5546875" bestFit="1" customWidth="1"/>
    <col min="77" max="77" width="13.21875" bestFit="1" customWidth="1"/>
    <col min="78" max="78" width="13.5546875" bestFit="1" customWidth="1"/>
    <col min="79" max="79" width="32.33203125" bestFit="1" customWidth="1"/>
  </cols>
  <sheetData>
    <row r="18" spans="44:78" x14ac:dyDescent="0.3">
      <c r="AR18" s="8"/>
    </row>
    <row r="21" spans="44:78" ht="21" x14ac:dyDescent="0.3">
      <c r="BS21" s="5" t="s">
        <v>115</v>
      </c>
      <c r="BT21" s="5" t="s">
        <v>114</v>
      </c>
    </row>
    <row r="22" spans="44:78" x14ac:dyDescent="0.3">
      <c r="BS22" s="7" t="s">
        <v>94</v>
      </c>
      <c r="BT22" s="7" t="s">
        <v>95</v>
      </c>
    </row>
    <row r="23" spans="44:78" x14ac:dyDescent="0.3">
      <c r="BS23" s="7" t="s">
        <v>6</v>
      </c>
      <c r="BT23" s="7" t="s">
        <v>96</v>
      </c>
      <c r="BY23" t="s">
        <v>102</v>
      </c>
      <c r="BZ23" t="s">
        <v>103</v>
      </c>
    </row>
    <row r="24" spans="44:78" x14ac:dyDescent="0.3">
      <c r="BS24" s="7" t="s">
        <v>6</v>
      </c>
      <c r="BT24" s="7" t="s">
        <v>97</v>
      </c>
      <c r="BY24" s="9">
        <v>1000</v>
      </c>
      <c r="BZ24" s="9">
        <v>4000</v>
      </c>
    </row>
    <row r="25" spans="44:78" x14ac:dyDescent="0.3">
      <c r="BS25" s="7">
        <v>46083</v>
      </c>
      <c r="BT25" s="7" t="s">
        <v>98</v>
      </c>
    </row>
    <row r="26" spans="44:78" x14ac:dyDescent="0.3">
      <c r="BS26" s="7" t="s">
        <v>49</v>
      </c>
      <c r="BT26" s="7" t="s">
        <v>99</v>
      </c>
    </row>
    <row r="27" spans="44:78" x14ac:dyDescent="0.3">
      <c r="BS27" s="7" t="s">
        <v>15</v>
      </c>
      <c r="BT27" s="7" t="s">
        <v>100</v>
      </c>
    </row>
    <row r="28" spans="44:78" x14ac:dyDescent="0.3">
      <c r="BS28" s="7" t="s">
        <v>53</v>
      </c>
      <c r="BT28" s="7" t="s">
        <v>101</v>
      </c>
    </row>
    <row r="29" spans="44:78" x14ac:dyDescent="0.3">
      <c r="BS29" s="7" t="s">
        <v>53</v>
      </c>
      <c r="BT29" s="7" t="s">
        <v>58</v>
      </c>
    </row>
    <row r="33" spans="77:78" x14ac:dyDescent="0.3">
      <c r="BY33" s="3" t="s">
        <v>106</v>
      </c>
      <c r="BZ33" t="s">
        <v>109</v>
      </c>
    </row>
    <row r="34" spans="77:78" x14ac:dyDescent="0.3">
      <c r="BY34" s="4" t="s">
        <v>22</v>
      </c>
      <c r="BZ34" s="9">
        <v>2</v>
      </c>
    </row>
    <row r="35" spans="77:78" x14ac:dyDescent="0.3">
      <c r="BY35" s="4" t="s">
        <v>28</v>
      </c>
      <c r="BZ35" s="9">
        <v>1</v>
      </c>
    </row>
    <row r="36" spans="77:78" x14ac:dyDescent="0.3">
      <c r="BY36" s="4" t="s">
        <v>10</v>
      </c>
      <c r="BZ36" s="9">
        <v>3</v>
      </c>
    </row>
    <row r="37" spans="77:78" x14ac:dyDescent="0.3">
      <c r="BY37" s="4" t="s">
        <v>38</v>
      </c>
      <c r="BZ37" s="9">
        <v>1</v>
      </c>
    </row>
    <row r="38" spans="77:78" x14ac:dyDescent="0.3">
      <c r="BY38" s="4" t="s">
        <v>107</v>
      </c>
      <c r="BZ38" s="9">
        <v>7</v>
      </c>
    </row>
    <row r="42" spans="77:78" x14ac:dyDescent="0.3">
      <c r="BY42" s="3" t="s">
        <v>106</v>
      </c>
      <c r="BZ42" t="s">
        <v>110</v>
      </c>
    </row>
    <row r="43" spans="77:78" x14ac:dyDescent="0.3">
      <c r="BY43" s="4" t="s">
        <v>29</v>
      </c>
      <c r="BZ43" s="9">
        <v>1</v>
      </c>
    </row>
    <row r="44" spans="77:78" x14ac:dyDescent="0.3">
      <c r="BY44" s="4" t="s">
        <v>25</v>
      </c>
      <c r="BZ44" s="9">
        <v>1</v>
      </c>
    </row>
    <row r="45" spans="77:78" x14ac:dyDescent="0.3">
      <c r="BY45" s="4" t="s">
        <v>107</v>
      </c>
      <c r="BZ45" s="9">
        <v>2</v>
      </c>
    </row>
    <row r="52" spans="78:79" x14ac:dyDescent="0.3">
      <c r="BZ52" s="3" t="s">
        <v>106</v>
      </c>
      <c r="CA52" t="s">
        <v>108</v>
      </c>
    </row>
    <row r="53" spans="78:79" x14ac:dyDescent="0.3">
      <c r="BZ53" s="4" t="s">
        <v>30</v>
      </c>
      <c r="CA53" s="9">
        <v>1</v>
      </c>
    </row>
    <row r="54" spans="78:79" x14ac:dyDescent="0.3">
      <c r="BZ54" s="4" t="s">
        <v>36</v>
      </c>
      <c r="CA54" s="9">
        <v>1</v>
      </c>
    </row>
    <row r="55" spans="78:79" x14ac:dyDescent="0.3">
      <c r="BZ55" s="4" t="s">
        <v>20</v>
      </c>
      <c r="CA55" s="9">
        <v>2</v>
      </c>
    </row>
    <row r="56" spans="78:79" x14ac:dyDescent="0.3">
      <c r="BZ56" s="4" t="s">
        <v>33</v>
      </c>
      <c r="CA56" s="9">
        <v>1</v>
      </c>
    </row>
    <row r="57" spans="78:79" x14ac:dyDescent="0.3">
      <c r="BZ57" s="4" t="s">
        <v>39</v>
      </c>
      <c r="CA57" s="9">
        <v>1</v>
      </c>
    </row>
    <row r="58" spans="78:79" x14ac:dyDescent="0.3">
      <c r="BZ58" s="4" t="s">
        <v>26</v>
      </c>
      <c r="CA58" s="9">
        <v>1</v>
      </c>
    </row>
    <row r="59" spans="78:79" x14ac:dyDescent="0.3">
      <c r="BZ59" s="4" t="s">
        <v>107</v>
      </c>
      <c r="CA59" s="9">
        <v>7</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73" workbookViewId="0">
      <selection activeCell="F6" sqref="F6"/>
    </sheetView>
  </sheetViews>
  <sheetFormatPr defaultRowHeight="14.4" x14ac:dyDescent="0.3"/>
  <cols>
    <col min="1" max="1" width="16.44140625" customWidth="1"/>
    <col min="2" max="2" width="23" customWidth="1"/>
    <col min="3" max="3" width="23.109375" customWidth="1"/>
    <col min="4" max="4" width="19.88671875" customWidth="1"/>
    <col min="5" max="5" width="21.77734375" customWidth="1"/>
    <col min="6" max="6" width="15.6640625" customWidth="1"/>
  </cols>
  <sheetData>
    <row r="1" spans="1:6" s="1" customFormat="1" ht="21" x14ac:dyDescent="0.4">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7</v>
      </c>
      <c r="C3" t="s">
        <v>8</v>
      </c>
      <c r="D3" t="s">
        <v>12</v>
      </c>
      <c r="E3" t="s">
        <v>13</v>
      </c>
      <c r="F3" t="s">
        <v>14</v>
      </c>
    </row>
    <row r="4" spans="1:6" x14ac:dyDescent="0.3">
      <c r="A4" t="s">
        <v>15</v>
      </c>
      <c r="B4" t="s">
        <v>16</v>
      </c>
      <c r="C4" t="s">
        <v>8</v>
      </c>
      <c r="D4" t="s">
        <v>17</v>
      </c>
      <c r="E4" t="s">
        <v>18</v>
      </c>
      <c r="F4" t="s">
        <v>19</v>
      </c>
    </row>
    <row r="5" spans="1:6" x14ac:dyDescent="0.3">
      <c r="A5" t="s">
        <v>6</v>
      </c>
      <c r="B5" t="s">
        <v>8</v>
      </c>
      <c r="C5" t="s">
        <v>20</v>
      </c>
      <c r="D5" t="s">
        <v>21</v>
      </c>
      <c r="E5" t="s">
        <v>22</v>
      </c>
      <c r="F5" t="s">
        <v>23</v>
      </c>
    </row>
    <row r="6" spans="1:6" x14ac:dyDescent="0.3">
      <c r="A6" t="s">
        <v>6</v>
      </c>
      <c r="B6" t="s">
        <v>8</v>
      </c>
      <c r="C6" t="s">
        <v>20</v>
      </c>
      <c r="D6" t="s">
        <v>24</v>
      </c>
      <c r="E6" t="s">
        <v>22</v>
      </c>
      <c r="F6" t="s">
        <v>25</v>
      </c>
    </row>
    <row r="7" spans="1:6" x14ac:dyDescent="0.3">
      <c r="A7" t="s">
        <v>6</v>
      </c>
      <c r="B7" t="s">
        <v>8</v>
      </c>
      <c r="C7" t="s">
        <v>26</v>
      </c>
      <c r="D7" t="s">
        <v>27</v>
      </c>
      <c r="E7" t="s">
        <v>28</v>
      </c>
      <c r="F7" t="s">
        <v>29</v>
      </c>
    </row>
    <row r="8" spans="1:6" x14ac:dyDescent="0.3">
      <c r="A8" t="s">
        <v>6</v>
      </c>
      <c r="B8" t="s">
        <v>8</v>
      </c>
      <c r="C8" t="s">
        <v>30</v>
      </c>
      <c r="D8" t="s">
        <v>31</v>
      </c>
      <c r="E8" t="s">
        <v>10</v>
      </c>
      <c r="F8" t="s">
        <v>32</v>
      </c>
    </row>
    <row r="9" spans="1:6" x14ac:dyDescent="0.3">
      <c r="A9" t="s">
        <v>6</v>
      </c>
      <c r="B9" t="s">
        <v>8</v>
      </c>
      <c r="C9" t="s">
        <v>33</v>
      </c>
      <c r="D9" t="s">
        <v>34</v>
      </c>
      <c r="E9" t="s">
        <v>10</v>
      </c>
      <c r="F9" t="s">
        <v>35</v>
      </c>
    </row>
    <row r="10" spans="1:6" x14ac:dyDescent="0.3">
      <c r="A10" t="s">
        <v>6</v>
      </c>
      <c r="B10" t="s">
        <v>8</v>
      </c>
      <c r="C10" t="s">
        <v>36</v>
      </c>
      <c r="D10" t="s">
        <v>37</v>
      </c>
      <c r="E10" t="s">
        <v>38</v>
      </c>
      <c r="F10" t="s">
        <v>32</v>
      </c>
    </row>
    <row r="11" spans="1:6" x14ac:dyDescent="0.3">
      <c r="A11" t="s">
        <v>6</v>
      </c>
      <c r="B11" t="s">
        <v>8</v>
      </c>
      <c r="C11" t="s">
        <v>39</v>
      </c>
      <c r="D11" t="s">
        <v>40</v>
      </c>
      <c r="E11" t="s">
        <v>10</v>
      </c>
      <c r="F11"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D58F-F50D-45B5-B6DA-23D8877A48B3}">
  <dimension ref="D3:J11"/>
  <sheetViews>
    <sheetView workbookViewId="0">
      <selection activeCell="F21" sqref="F21"/>
    </sheetView>
  </sheetViews>
  <sheetFormatPr defaultRowHeight="14.4" x14ac:dyDescent="0.3"/>
  <cols>
    <col min="1" max="2" width="19.109375" bestFit="1" customWidth="1"/>
    <col min="4" max="4" width="19.109375" bestFit="1" customWidth="1"/>
    <col min="5" max="6" width="18.5546875" bestFit="1" customWidth="1"/>
    <col min="8" max="8" width="12.5546875" bestFit="1" customWidth="1"/>
    <col min="9" max="9" width="14.88671875" bestFit="1" customWidth="1"/>
    <col min="10" max="10" width="15.109375" bestFit="1" customWidth="1"/>
    <col min="11" max="11" width="12.5546875" bestFit="1" customWidth="1"/>
    <col min="12" max="12" width="18.5546875" bestFit="1" customWidth="1"/>
  </cols>
  <sheetData>
    <row r="3" spans="4:10" x14ac:dyDescent="0.3">
      <c r="D3" t="s">
        <v>104</v>
      </c>
      <c r="F3" t="s">
        <v>111</v>
      </c>
    </row>
    <row r="4" spans="4:10" x14ac:dyDescent="0.3">
      <c r="D4" s="9">
        <v>1000</v>
      </c>
      <c r="F4" s="9">
        <v>2200</v>
      </c>
    </row>
    <row r="7" spans="4:10" x14ac:dyDescent="0.3">
      <c r="H7" s="3" t="s">
        <v>106</v>
      </c>
      <c r="I7" t="s">
        <v>112</v>
      </c>
      <c r="J7" t="s">
        <v>113</v>
      </c>
    </row>
    <row r="8" spans="4:10" x14ac:dyDescent="0.3">
      <c r="H8" s="4" t="s">
        <v>6</v>
      </c>
      <c r="I8" s="9">
        <v>0</v>
      </c>
      <c r="J8" s="9">
        <v>0</v>
      </c>
    </row>
    <row r="9" spans="4:10" x14ac:dyDescent="0.3">
      <c r="H9" s="4" t="s">
        <v>49</v>
      </c>
      <c r="I9" s="9">
        <v>0</v>
      </c>
      <c r="J9" s="9">
        <v>0</v>
      </c>
    </row>
    <row r="10" spans="4:10" x14ac:dyDescent="0.3">
      <c r="H10" s="4" t="s">
        <v>53</v>
      </c>
      <c r="I10" s="9">
        <v>1000</v>
      </c>
      <c r="J10" s="9">
        <v>2200</v>
      </c>
    </row>
    <row r="11" spans="4:10" x14ac:dyDescent="0.3">
      <c r="H11" s="4" t="s">
        <v>107</v>
      </c>
      <c r="I11" s="9">
        <v>1000</v>
      </c>
      <c r="J11" s="9">
        <v>2200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4.4" x14ac:dyDescent="0.3"/>
  <cols>
    <col min="1" max="1" width="18.44140625" customWidth="1"/>
    <col min="2" max="2" width="16.6640625" customWidth="1"/>
    <col min="3" max="3" width="19.77734375" customWidth="1"/>
    <col min="4" max="4" width="25.33203125" customWidth="1"/>
    <col min="5" max="5" width="19.33203125" customWidth="1"/>
  </cols>
  <sheetData>
    <row r="1" spans="1:5" s="2" customFormat="1" ht="23.4" x14ac:dyDescent="0.45">
      <c r="A1" s="2" t="s">
        <v>0</v>
      </c>
      <c r="B1" s="2" t="s">
        <v>42</v>
      </c>
      <c r="C1" s="2" t="s">
        <v>43</v>
      </c>
      <c r="D1" s="2" t="s">
        <v>44</v>
      </c>
      <c r="E1" s="2" t="s">
        <v>45</v>
      </c>
    </row>
    <row r="2" spans="1:5" x14ac:dyDescent="0.3">
      <c r="A2" t="s">
        <v>6</v>
      </c>
      <c r="B2" t="s">
        <v>8</v>
      </c>
      <c r="C2" t="s">
        <v>46</v>
      </c>
      <c r="D2" t="s">
        <v>47</v>
      </c>
      <c r="E2" t="s">
        <v>48</v>
      </c>
    </row>
    <row r="3" spans="1:5" x14ac:dyDescent="0.3">
      <c r="A3" t="s">
        <v>49</v>
      </c>
      <c r="B3" t="s">
        <v>8</v>
      </c>
      <c r="C3" t="s">
        <v>50</v>
      </c>
      <c r="D3" t="s">
        <v>51</v>
      </c>
      <c r="E3" t="s">
        <v>52</v>
      </c>
    </row>
    <row r="4" spans="1:5" x14ac:dyDescent="0.3">
      <c r="A4" t="s">
        <v>53</v>
      </c>
      <c r="B4" t="s">
        <v>8</v>
      </c>
      <c r="C4">
        <v>1000</v>
      </c>
      <c r="D4">
        <v>2200</v>
      </c>
      <c r="E4" t="s">
        <v>54</v>
      </c>
    </row>
    <row r="5" spans="1:5" x14ac:dyDescent="0.3">
      <c r="A5" t="s">
        <v>53</v>
      </c>
      <c r="B5" t="s">
        <v>8</v>
      </c>
      <c r="C5" t="s">
        <v>55</v>
      </c>
      <c r="D5">
        <v>0</v>
      </c>
      <c r="E5" t="s">
        <v>56</v>
      </c>
    </row>
    <row r="6" spans="1:5" x14ac:dyDescent="0.3">
      <c r="A6" t="s">
        <v>6</v>
      </c>
      <c r="B6" t="s">
        <v>16</v>
      </c>
      <c r="C6">
        <v>1000</v>
      </c>
      <c r="D6">
        <v>0</v>
      </c>
      <c r="E6" t="s">
        <v>57</v>
      </c>
    </row>
    <row r="7" spans="1:5" x14ac:dyDescent="0.3">
      <c r="A7" t="s">
        <v>53</v>
      </c>
      <c r="B7" t="s">
        <v>7</v>
      </c>
      <c r="C7">
        <v>100</v>
      </c>
      <c r="D7">
        <v>0</v>
      </c>
      <c r="E7" t="s">
        <v>58</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BDB0-CCA6-4546-A647-1638F18BA6EF}">
  <dimension ref="A10:B14"/>
  <sheetViews>
    <sheetView workbookViewId="0">
      <selection activeCell="F3" sqref="F3"/>
    </sheetView>
  </sheetViews>
  <sheetFormatPr defaultRowHeight="14.4" x14ac:dyDescent="0.3"/>
  <cols>
    <col min="1" max="1" width="16.88671875" bestFit="1" customWidth="1"/>
    <col min="2" max="2" width="15" bestFit="1" customWidth="1"/>
  </cols>
  <sheetData>
    <row r="10" spans="1:2" x14ac:dyDescent="0.3">
      <c r="A10" s="3" t="s">
        <v>106</v>
      </c>
      <c r="B10" t="s">
        <v>105</v>
      </c>
    </row>
    <row r="11" spans="1:2" x14ac:dyDescent="0.3">
      <c r="A11" s="4" t="s">
        <v>62</v>
      </c>
      <c r="B11" s="9">
        <v>1000</v>
      </c>
    </row>
    <row r="12" spans="1:2" x14ac:dyDescent="0.3">
      <c r="A12" s="4" t="s">
        <v>74</v>
      </c>
      <c r="B12" s="9">
        <v>0</v>
      </c>
    </row>
    <row r="13" spans="1:2" x14ac:dyDescent="0.3">
      <c r="A13" s="4" t="s">
        <v>64</v>
      </c>
      <c r="B13" s="9">
        <v>300</v>
      </c>
    </row>
    <row r="14" spans="1:2" x14ac:dyDescent="0.3">
      <c r="A14" s="4" t="s">
        <v>107</v>
      </c>
      <c r="B14" s="9">
        <v>1300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topLeftCell="D1" zoomScale="110" workbookViewId="0"/>
  </sheetViews>
  <sheetFormatPr defaultRowHeight="14.4" x14ac:dyDescent="0.3"/>
  <cols>
    <col min="1" max="1" width="21.33203125" customWidth="1"/>
    <col min="2" max="2" width="23.88671875" customWidth="1"/>
    <col min="3" max="3" width="19.77734375" customWidth="1"/>
    <col min="4" max="4" width="17.6640625" customWidth="1"/>
    <col min="5" max="5" width="20.44140625" customWidth="1"/>
  </cols>
  <sheetData>
    <row r="1" spans="1:5" s="1" customFormat="1" ht="21" x14ac:dyDescent="0.4">
      <c r="A1" s="1" t="s">
        <v>0</v>
      </c>
      <c r="B1" s="1" t="s">
        <v>42</v>
      </c>
      <c r="C1" s="1" t="s">
        <v>59</v>
      </c>
      <c r="D1" s="1" t="s">
        <v>60</v>
      </c>
      <c r="E1" s="1" t="s">
        <v>61</v>
      </c>
    </row>
    <row r="2" spans="1:5" x14ac:dyDescent="0.3">
      <c r="A2" t="s">
        <v>6</v>
      </c>
      <c r="B2" t="s">
        <v>16</v>
      </c>
      <c r="C2" t="s">
        <v>62</v>
      </c>
      <c r="D2">
        <v>1000</v>
      </c>
      <c r="E2" t="s">
        <v>63</v>
      </c>
    </row>
    <row r="3" spans="1:5" x14ac:dyDescent="0.3">
      <c r="A3" t="s">
        <v>6</v>
      </c>
      <c r="B3" t="s">
        <v>16</v>
      </c>
      <c r="C3" t="s">
        <v>64</v>
      </c>
      <c r="D3">
        <v>300</v>
      </c>
      <c r="E3" t="s">
        <v>65</v>
      </c>
    </row>
    <row r="4" spans="1:5" x14ac:dyDescent="0.3">
      <c r="A4" t="s">
        <v>6</v>
      </c>
      <c r="B4" t="s">
        <v>20</v>
      </c>
      <c r="C4" t="s">
        <v>66</v>
      </c>
      <c r="D4">
        <v>500</v>
      </c>
      <c r="E4" t="s">
        <v>67</v>
      </c>
    </row>
    <row r="5" spans="1:5" x14ac:dyDescent="0.3">
      <c r="A5" t="s">
        <v>68</v>
      </c>
      <c r="B5" t="s">
        <v>69</v>
      </c>
      <c r="C5" t="s">
        <v>70</v>
      </c>
      <c r="D5">
        <v>200</v>
      </c>
      <c r="E5" t="s">
        <v>71</v>
      </c>
    </row>
    <row r="6" spans="1:5" x14ac:dyDescent="0.3">
      <c r="A6" t="s">
        <v>53</v>
      </c>
      <c r="B6" t="s">
        <v>8</v>
      </c>
      <c r="C6" t="s">
        <v>72</v>
      </c>
      <c r="D6">
        <v>2000</v>
      </c>
      <c r="E6" t="s">
        <v>73</v>
      </c>
    </row>
    <row r="7" spans="1:5" x14ac:dyDescent="0.3">
      <c r="A7" t="s">
        <v>53</v>
      </c>
      <c r="B7" t="s">
        <v>16</v>
      </c>
      <c r="C7" t="s">
        <v>74</v>
      </c>
      <c r="D7">
        <v>0</v>
      </c>
      <c r="E7" t="s">
        <v>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9592-4B4F-4393-A873-F37DD642A3DE}">
  <dimension ref="A3:C5"/>
  <sheetViews>
    <sheetView workbookViewId="0">
      <selection activeCell="G9" sqref="G9:H10"/>
    </sheetView>
  </sheetViews>
  <sheetFormatPr defaultRowHeight="14.4" x14ac:dyDescent="0.3"/>
  <cols>
    <col min="1" max="1" width="12.5546875" bestFit="1" customWidth="1"/>
    <col min="2" max="2" width="13.21875" bestFit="1" customWidth="1"/>
    <col min="3" max="3" width="13.5546875" bestFit="1" customWidth="1"/>
    <col min="5" max="7" width="13.21875" bestFit="1" customWidth="1"/>
    <col min="8" max="8" width="13.5546875" bestFit="1" customWidth="1"/>
    <col min="9" max="9" width="14.77734375" bestFit="1" customWidth="1"/>
    <col min="10" max="11" width="13.5546875" bestFit="1" customWidth="1"/>
  </cols>
  <sheetData>
    <row r="3" spans="1:3" x14ac:dyDescent="0.3">
      <c r="A3" s="3" t="s">
        <v>106</v>
      </c>
      <c r="B3" t="s">
        <v>102</v>
      </c>
      <c r="C3" t="s">
        <v>103</v>
      </c>
    </row>
    <row r="4" spans="1:3" x14ac:dyDescent="0.3">
      <c r="A4" s="4" t="s">
        <v>80</v>
      </c>
      <c r="B4" s="9">
        <v>1000</v>
      </c>
      <c r="C4" s="9">
        <v>4000</v>
      </c>
    </row>
    <row r="5" spans="1:3" x14ac:dyDescent="0.3">
      <c r="A5" s="4" t="s">
        <v>107</v>
      </c>
      <c r="B5" s="9">
        <v>1000</v>
      </c>
      <c r="C5" s="9">
        <v>4000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zoomScale="120" zoomScaleNormal="115" workbookViewId="0"/>
  </sheetViews>
  <sheetFormatPr defaultRowHeight="14.4" x14ac:dyDescent="0.3"/>
  <cols>
    <col min="1" max="1" width="20.109375" customWidth="1"/>
    <col min="2" max="2" width="21.5546875" customWidth="1"/>
    <col min="3" max="3" width="19.21875" customWidth="1"/>
    <col min="4" max="4" width="19.5546875" customWidth="1"/>
    <col min="5" max="5" width="19" customWidth="1"/>
  </cols>
  <sheetData>
    <row r="1" spans="1:5" s="1" customFormat="1" ht="21" x14ac:dyDescent="0.4">
      <c r="A1" s="1" t="s">
        <v>42</v>
      </c>
      <c r="B1" s="1" t="s">
        <v>76</v>
      </c>
      <c r="C1" s="1" t="s">
        <v>77</v>
      </c>
      <c r="D1" s="1" t="s">
        <v>78</v>
      </c>
      <c r="E1" s="1" t="s">
        <v>79</v>
      </c>
    </row>
    <row r="2" spans="1:5" x14ac:dyDescent="0.3">
      <c r="A2" t="s">
        <v>8</v>
      </c>
      <c r="B2" t="s">
        <v>80</v>
      </c>
      <c r="C2">
        <v>1000</v>
      </c>
      <c r="D2">
        <v>4000</v>
      </c>
      <c r="E2" t="s">
        <v>81</v>
      </c>
    </row>
    <row r="3" spans="1:5" x14ac:dyDescent="0.3">
      <c r="A3" t="s">
        <v>20</v>
      </c>
      <c r="B3" t="s">
        <v>21</v>
      </c>
      <c r="C3">
        <v>15</v>
      </c>
      <c r="D3">
        <v>3000</v>
      </c>
      <c r="E3" t="s">
        <v>82</v>
      </c>
    </row>
    <row r="4" spans="1:5" x14ac:dyDescent="0.3">
      <c r="A4" t="s">
        <v>26</v>
      </c>
      <c r="B4" t="s">
        <v>83</v>
      </c>
      <c r="C4">
        <v>7</v>
      </c>
      <c r="D4">
        <v>145</v>
      </c>
      <c r="E4" t="s">
        <v>84</v>
      </c>
    </row>
    <row r="5" spans="1:5" x14ac:dyDescent="0.3">
      <c r="A5" t="s">
        <v>85</v>
      </c>
      <c r="B5" t="s">
        <v>86</v>
      </c>
      <c r="C5">
        <v>600</v>
      </c>
      <c r="D5">
        <v>1500</v>
      </c>
      <c r="E5" t="s">
        <v>87</v>
      </c>
    </row>
    <row r="6" spans="1:5" x14ac:dyDescent="0.3">
      <c r="A6" t="s">
        <v>39</v>
      </c>
      <c r="B6" t="s">
        <v>88</v>
      </c>
      <c r="C6">
        <v>0</v>
      </c>
      <c r="D6">
        <v>16</v>
      </c>
      <c r="E6" t="s">
        <v>89</v>
      </c>
    </row>
    <row r="7" spans="1:5" x14ac:dyDescent="0.3">
      <c r="A7" t="s">
        <v>33</v>
      </c>
      <c r="B7" t="s">
        <v>90</v>
      </c>
      <c r="C7">
        <v>0</v>
      </c>
      <c r="D7">
        <v>32</v>
      </c>
      <c r="E7" t="s">
        <v>91</v>
      </c>
    </row>
    <row r="8" spans="1:5" x14ac:dyDescent="0.3">
      <c r="A8" t="s">
        <v>36</v>
      </c>
      <c r="B8" t="s">
        <v>92</v>
      </c>
      <c r="C8">
        <v>10</v>
      </c>
      <c r="D8">
        <v>10</v>
      </c>
      <c r="E8" t="s">
        <v>93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F24" sqref="F24"/>
    </sheetView>
  </sheetViews>
  <sheetFormatPr defaultRowHeight="14.4" x14ac:dyDescent="0.3"/>
  <cols>
    <col min="1" max="1" width="19.44140625" customWidth="1"/>
    <col min="2" max="2" width="30.33203125" customWidth="1"/>
  </cols>
  <sheetData>
    <row r="1" s="6" customFormat="1" ht="21" x14ac:dyDescent="0.4"/>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Sites_Targeted</vt:lpstr>
      <vt:lpstr>Sheet6</vt:lpstr>
      <vt:lpstr>Missiles_Launched</vt:lpstr>
      <vt:lpstr>Sheet7</vt:lpstr>
      <vt:lpstr>Airstrikes_Aircraft</vt:lpstr>
      <vt:lpstr>Sheet8</vt:lpstr>
      <vt:lpstr>Cities_Impact</vt:lpstr>
      <vt:lpstr>Timeline_Events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 Tharun</cp:lastModifiedBy>
  <dcterms:created xsi:type="dcterms:W3CDTF">2026-03-17T06:00:46Z</dcterms:created>
  <dcterms:modified xsi:type="dcterms:W3CDTF">2026-03-23T18:23:15Z</dcterms:modified>
</cp:coreProperties>
</file>